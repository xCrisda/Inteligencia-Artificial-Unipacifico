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Taller IA\"/>
    </mc:Choice>
  </mc:AlternateContent>
  <xr:revisionPtr revIDLastSave="0" documentId="13_ncr:1_{96036414-F183-47A7-93E3-1910427E59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2ZfNCA75AtLln6h2YnXuq9es5cH1jub4hUYw5Ba2SiY="/>
    </ext>
  </extLst>
</workbook>
</file>

<file path=xl/calcChain.xml><?xml version="1.0" encoding="utf-8"?>
<calcChain xmlns="http://schemas.openxmlformats.org/spreadsheetml/2006/main">
  <c r="P15" i="1" l="1"/>
  <c r="P13" i="1"/>
  <c r="P14" i="1" s="1"/>
  <c r="P16" i="1" s="1"/>
  <c r="P12" i="1"/>
  <c r="O2" i="1" s="1"/>
  <c r="H12" i="1"/>
  <c r="H13" i="1" s="1"/>
  <c r="H15" i="1" s="1"/>
  <c r="H11" i="1"/>
  <c r="G2" i="1" s="1"/>
  <c r="I2" i="1" l="1"/>
  <c r="H2" i="1"/>
  <c r="G3" i="1" s="1"/>
  <c r="J2" i="1"/>
  <c r="W2" i="1"/>
  <c r="P2" i="1"/>
  <c r="O3" i="1" s="1"/>
  <c r="R2" i="1"/>
  <c r="T2" i="1" l="1"/>
  <c r="P3" i="1"/>
  <c r="O4" i="1" s="1"/>
  <c r="R3" i="1"/>
  <c r="Q2" i="1"/>
  <c r="L2" i="1"/>
  <c r="H3" i="1"/>
  <c r="G4" i="1" s="1"/>
  <c r="T3" i="1" l="1"/>
  <c r="H4" i="1"/>
  <c r="G5" i="1" s="1"/>
  <c r="I3" i="1"/>
  <c r="J3" i="1"/>
  <c r="L3" i="1" s="1"/>
  <c r="Q4" i="1"/>
  <c r="P4" i="1"/>
  <c r="O5" i="1" s="1"/>
  <c r="W3" i="1"/>
  <c r="Q3" i="1"/>
  <c r="W4" i="1" l="1"/>
  <c r="P5" i="1"/>
  <c r="O6" i="1" s="1"/>
  <c r="R4" i="1"/>
  <c r="T4" i="1" s="1"/>
  <c r="H5" i="1"/>
  <c r="G6" i="1" s="1"/>
  <c r="J5" i="1"/>
  <c r="I5" i="1"/>
  <c r="I4" i="1"/>
  <c r="J4" i="1"/>
  <c r="P6" i="1" l="1"/>
  <c r="O7" i="1" s="1"/>
  <c r="R6" i="1"/>
  <c r="Q5" i="1"/>
  <c r="W5" i="1"/>
  <c r="H6" i="1"/>
  <c r="G7" i="1" s="1"/>
  <c r="J6" i="1"/>
  <c r="R5" i="1"/>
  <c r="L4" i="1"/>
  <c r="L5" i="1" s="1"/>
  <c r="H7" i="1" l="1"/>
  <c r="J7" i="1" s="1"/>
  <c r="I6" i="1"/>
  <c r="P7" i="1"/>
  <c r="O8" i="1" s="1"/>
  <c r="Q7" i="1"/>
  <c r="Q6" i="1"/>
  <c r="W6" i="1"/>
  <c r="L6" i="1"/>
  <c r="T5" i="1"/>
  <c r="T6" i="1" s="1"/>
  <c r="K7" i="1" l="1"/>
  <c r="J8" i="1"/>
  <c r="L7" i="1"/>
  <c r="R7" i="1"/>
  <c r="T7" i="1" s="1"/>
  <c r="T8" i="1" s="1"/>
  <c r="W7" i="1"/>
  <c r="I7" i="1"/>
  <c r="P8" i="1"/>
  <c r="Q8" i="1" s="1"/>
  <c r="R8" i="1"/>
  <c r="W8" i="1" l="1"/>
  <c r="R9" i="1"/>
  <c r="K8" i="1"/>
  <c r="K2" i="1"/>
  <c r="M2" i="1" s="1"/>
  <c r="K3" i="1"/>
  <c r="K4" i="1"/>
  <c r="K5" i="1"/>
  <c r="K6" i="1"/>
  <c r="M3" i="1" l="1"/>
  <c r="M4" i="1" s="1"/>
  <c r="M5" i="1" s="1"/>
  <c r="M6" i="1" s="1"/>
  <c r="M7" i="1" s="1"/>
  <c r="S9" i="1"/>
  <c r="S2" i="1"/>
  <c r="U2" i="1" s="1"/>
  <c r="S3" i="1"/>
  <c r="S4" i="1"/>
  <c r="S5" i="1"/>
  <c r="S6" i="1"/>
  <c r="S7" i="1"/>
  <c r="S8" i="1"/>
  <c r="U3" i="1" l="1"/>
  <c r="U4" i="1" s="1"/>
  <c r="U5" i="1" s="1"/>
  <c r="U6" i="1" s="1"/>
  <c r="U7" i="1" s="1"/>
  <c r="U8" i="1" s="1"/>
</calcChain>
</file>

<file path=xl/sharedStrings.xml><?xml version="1.0" encoding="utf-8"?>
<sst xmlns="http://schemas.openxmlformats.org/spreadsheetml/2006/main" count="134" uniqueCount="35">
  <si>
    <t>ID</t>
  </si>
  <si>
    <t>País</t>
  </si>
  <si>
    <t>Estado Socioeconómico</t>
  </si>
  <si>
    <t>Apps Descargadas</t>
  </si>
  <si>
    <t>Tiempo en Celular (horas)</t>
  </si>
  <si>
    <t>LÍMITE INFERIOR</t>
  </si>
  <si>
    <t>LÍMITE SUPERIOR</t>
  </si>
  <si>
    <t>PUNTO MEDIO (MARCA DE CLASES)</t>
  </si>
  <si>
    <t>FRECUENCIA ABSOLUTA</t>
  </si>
  <si>
    <t>FRECUENCIA RELATIVA</t>
  </si>
  <si>
    <t>FRECUENCIA ACOMULADA</t>
  </si>
  <si>
    <t>FRECUENCIA RELATIVA ACUMULADA</t>
  </si>
  <si>
    <t>LIMITE INFERIOR</t>
  </si>
  <si>
    <t>PUNTO MEDIO (MARCA DE CLASE)</t>
  </si>
  <si>
    <t>INTERVALO</t>
  </si>
  <si>
    <t>México|</t>
  </si>
  <si>
    <t>Medio</t>
  </si>
  <si>
    <t>Colombia</t>
  </si>
  <si>
    <t>Bajo</t>
  </si>
  <si>
    <t>Argentina</t>
  </si>
  <si>
    <t>Alto</t>
  </si>
  <si>
    <t>México</t>
  </si>
  <si>
    <t>Chile</t>
  </si>
  <si>
    <t>Perú</t>
  </si>
  <si>
    <t>DATO MINIMO</t>
  </si>
  <si>
    <t>N</t>
  </si>
  <si>
    <t>DATO MAXIMO</t>
  </si>
  <si>
    <t>DATOS MINIMO</t>
  </si>
  <si>
    <t>RANGO</t>
  </si>
  <si>
    <t>DATOS MAXIMO</t>
  </si>
  <si>
    <t>NÚMERO DE CLASE</t>
  </si>
  <si>
    <t xml:space="preserve">ALBITRARIAMENTE </t>
  </si>
  <si>
    <t>AMPLITUD DE CLASE</t>
  </si>
  <si>
    <t>NÚMERO DE CALSES</t>
  </si>
  <si>
    <t>REDONDEO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</si>
</sst>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00"/>
  </numFmts>
  <fonts count="13">
    <font>
      <sz val="10"/>
      <color rgb="FF000000"/>
      <name val="Arial"/>
      <scheme val="minor"/>
    </font>
    <font>
      <sz val="10"/>
      <color theme="1"/>
      <name val="Arial"/>
    </font>
    <font>
      <b/>
      <sz val="8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FF0000"/>
      <name val="Arial"/>
    </font>
    <font>
      <b/>
      <sz val="8"/>
      <color rgb="FFFF0000"/>
      <name val="Arial"/>
    </font>
    <font>
      <sz val="8"/>
      <color rgb="FF00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b/>
      <sz val="11"/>
      <color rgb="FFFF0000"/>
      <name val="Arial"/>
    </font>
    <font>
      <sz val="10"/>
      <color rgb="FF000000"/>
      <name val="Arimo"/>
    </font>
    <font>
      <b/>
      <sz val="10"/>
      <color rgb="FF00FF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vertical="center"/>
    </xf>
    <xf numFmtId="1" fontId="2" fillId="4" borderId="5" xfId="0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164" fontId="6" fillId="4" borderId="6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10" fontId="6" fillId="4" borderId="6" xfId="0" applyNumberFormat="1" applyFont="1" applyFill="1" applyBorder="1" applyAlignment="1">
      <alignment horizontal="center" vertical="center" wrapText="1"/>
    </xf>
    <xf numFmtId="10" fontId="6" fillId="4" borderId="7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1" fontId="2" fillId="5" borderId="5" xfId="0" applyNumberFormat="1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10" fontId="6" fillId="5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3" fillId="0" borderId="9" xfId="0" applyFont="1" applyBorder="1"/>
    <xf numFmtId="10" fontId="1" fillId="0" borderId="0" xfId="0" applyNumberFormat="1" applyFont="1"/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10" fontId="6" fillId="4" borderId="12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2" fontId="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1" fontId="10" fillId="0" borderId="0" xfId="0" applyNumberFormat="1" applyFont="1" applyAlignment="1">
      <alignment horizontal="center"/>
    </xf>
    <xf numFmtId="0" fontId="8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Dato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Datos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200" b="0" i="0">
                <a:solidFill>
                  <a:srgbClr val="757575"/>
                </a:solidFill>
                <a:latin typeface="+mn-lt"/>
              </a:defRPr>
            </a:pPr>
            <a:r>
              <a:rPr lang="es-CO" sz="1200" b="0" i="0">
                <a:solidFill>
                  <a:srgbClr val="757575"/>
                </a:solidFill>
                <a:latin typeface="+mn-lt"/>
              </a:rPr>
              <a:t>POLÍGONO PUNTO MEDIO (MARCA DE CLASES) y FRECUENCIA ABSOLUTA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FRECUENCIA ABSOLUTA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Datos!$I$2:$I$7</c:f>
              <c:numCache>
                <c:formatCode>General</c:formatCode>
                <c:ptCount val="6"/>
                <c:pt idx="0">
                  <c:v>3.05</c:v>
                </c:pt>
                <c:pt idx="1">
                  <c:v>4.1500000000000004</c:v>
                </c:pt>
                <c:pt idx="2">
                  <c:v>5.25</c:v>
                </c:pt>
                <c:pt idx="3">
                  <c:v>6.3500000000000005</c:v>
                </c:pt>
                <c:pt idx="4">
                  <c:v>7.45</c:v>
                </c:pt>
                <c:pt idx="5">
                  <c:v>8.5500000000000007</c:v>
                </c:pt>
              </c:numCache>
            </c:numRef>
          </c:cat>
          <c:val>
            <c:numRef>
              <c:f>Datos!$J$2:$J$7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12</c:v>
                </c:pt>
                <c:pt idx="3">
                  <c:v>13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F-48AC-9017-98330C65E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365721"/>
        <c:axId val="436825211"/>
      </c:lineChart>
      <c:catAx>
        <c:axId val="2044365721"/>
        <c:scaling>
          <c:orientation val="minMax"/>
          <c:max val="9.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436825211"/>
        <c:crosses val="autoZero"/>
        <c:auto val="1"/>
        <c:lblAlgn val="ctr"/>
        <c:lblOffset val="100"/>
        <c:noMultiLvlLbl val="1"/>
      </c:catAx>
      <c:valAx>
        <c:axId val="436825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443657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s-CO" b="0" i="0">
                <a:solidFill>
                  <a:srgbClr val="757575"/>
                </a:solidFill>
                <a:latin typeface="+mn-lt"/>
              </a:rPr>
              <a:t>OJIVA DEL USO DEL CELULAR EN HORA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FRECUENCIA ACOMULADA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Datos!$I$2:$I$7</c:f>
              <c:numCache>
                <c:formatCode>General</c:formatCode>
                <c:ptCount val="6"/>
                <c:pt idx="0">
                  <c:v>3.05</c:v>
                </c:pt>
                <c:pt idx="1">
                  <c:v>4.1500000000000004</c:v>
                </c:pt>
                <c:pt idx="2">
                  <c:v>5.25</c:v>
                </c:pt>
                <c:pt idx="3">
                  <c:v>6.3500000000000005</c:v>
                </c:pt>
                <c:pt idx="4">
                  <c:v>7.45</c:v>
                </c:pt>
                <c:pt idx="5">
                  <c:v>8.5500000000000007</c:v>
                </c:pt>
              </c:numCache>
            </c:numRef>
          </c:cat>
          <c:val>
            <c:numRef>
              <c:f>Datos!$L$2:$L$7</c:f>
              <c:numCache>
                <c:formatCode>General</c:formatCode>
                <c:ptCount val="6"/>
                <c:pt idx="0">
                  <c:v>10</c:v>
                </c:pt>
                <c:pt idx="1">
                  <c:v>18</c:v>
                </c:pt>
                <c:pt idx="2">
                  <c:v>30</c:v>
                </c:pt>
                <c:pt idx="3">
                  <c:v>43</c:v>
                </c:pt>
                <c:pt idx="4">
                  <c:v>48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F-4346-8626-B611CF233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499942"/>
        <c:axId val="642452551"/>
      </c:lineChart>
      <c:catAx>
        <c:axId val="2124499942"/>
        <c:scaling>
          <c:orientation val="minMax"/>
          <c:max val="9.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42452551"/>
        <c:crosses val="autoZero"/>
        <c:auto val="1"/>
        <c:lblAlgn val="ctr"/>
        <c:lblOffset val="100"/>
        <c:noMultiLvlLbl val="1"/>
      </c:catAx>
      <c:valAx>
        <c:axId val="642452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 i="0">
                    <a:solidFill>
                      <a:srgbClr val="000000"/>
                    </a:solidFill>
                    <a:latin typeface="+mn-lt"/>
                  </a:rPr>
                  <a:t>FRECUENCIA ACOMULADA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124499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Histograma de Apps Descargadas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Datos!$W$2:$W$8</c:f>
              <c:strCache>
                <c:ptCount val="7"/>
                <c:pt idx="0">
                  <c:v>30 - 45</c:v>
                </c:pt>
                <c:pt idx="1">
                  <c:v>45 - 60</c:v>
                </c:pt>
                <c:pt idx="2">
                  <c:v>60 - 75</c:v>
                </c:pt>
                <c:pt idx="3">
                  <c:v>75 - 90</c:v>
                </c:pt>
                <c:pt idx="4">
                  <c:v>90 - 105</c:v>
                </c:pt>
                <c:pt idx="5">
                  <c:v>105 - 120</c:v>
                </c:pt>
                <c:pt idx="6">
                  <c:v>120 - 135</c:v>
                </c:pt>
              </c:strCache>
            </c:strRef>
          </c:cat>
          <c:val>
            <c:numRef>
              <c:f>Datos!$R$2:$R$8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6F0-48D3-B37A-C67C95F74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748048"/>
        <c:axId val="10272325"/>
      </c:barChart>
      <c:catAx>
        <c:axId val="1071748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Intervalos de Apps Descargadas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272325"/>
        <c:crosses val="autoZero"/>
        <c:auto val="1"/>
        <c:lblAlgn val="ctr"/>
        <c:lblOffset val="100"/>
        <c:noMultiLvlLbl val="1"/>
      </c:catAx>
      <c:valAx>
        <c:axId val="10272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Frecuencia Absoluta (fi)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717480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Polígono de Frecuencias de Apps Descargadas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Datos!$R$1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Datos!$Q$2:$Q$8</c:f>
              <c:numCache>
                <c:formatCode>0.0</c:formatCode>
                <c:ptCount val="7"/>
                <c:pt idx="0">
                  <c:v>37.5</c:v>
                </c:pt>
                <c:pt idx="1">
                  <c:v>52.5</c:v>
                </c:pt>
                <c:pt idx="2">
                  <c:v>67.5</c:v>
                </c:pt>
                <c:pt idx="3">
                  <c:v>82.5</c:v>
                </c:pt>
                <c:pt idx="4">
                  <c:v>97.5</c:v>
                </c:pt>
                <c:pt idx="5">
                  <c:v>112.5</c:v>
                </c:pt>
                <c:pt idx="6">
                  <c:v>127.5</c:v>
                </c:pt>
              </c:numCache>
            </c:numRef>
          </c:cat>
          <c:val>
            <c:numRef>
              <c:f>Datos!$R$2:$R$8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C-4337-AF1C-FFBFDF76F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597647"/>
        <c:axId val="1335739533"/>
      </c:lineChart>
      <c:catAx>
        <c:axId val="1081597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Punto Medio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35739533"/>
        <c:crosses val="autoZero"/>
        <c:auto val="1"/>
        <c:lblAlgn val="ctr"/>
        <c:lblOffset val="100"/>
        <c:noMultiLvlLbl val="1"/>
      </c:catAx>
      <c:valAx>
        <c:axId val="1335739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Frecuencia Absoluta (fi)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815976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Ojiva de Frecuencia Acumulada</a:t>
            </a:r>
          </a:p>
        </c:rich>
      </c:tx>
      <c:layout>
        <c:manualLayout>
          <c:xMode val="edge"/>
          <c:yMode val="edge"/>
          <c:x val="0.29984375000000002"/>
          <c:y val="3.2619775739041797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Datos!$T$1</c:f>
              <c:strCache>
                <c:ptCount val="1"/>
                <c:pt idx="0">
                  <c:v>FRECUENCIA ACOMULADA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Datos!$Q$2:$Q$8</c:f>
              <c:numCache>
                <c:formatCode>0.0</c:formatCode>
                <c:ptCount val="7"/>
                <c:pt idx="0">
                  <c:v>37.5</c:v>
                </c:pt>
                <c:pt idx="1">
                  <c:v>52.5</c:v>
                </c:pt>
                <c:pt idx="2">
                  <c:v>67.5</c:v>
                </c:pt>
                <c:pt idx="3">
                  <c:v>82.5</c:v>
                </c:pt>
                <c:pt idx="4">
                  <c:v>97.5</c:v>
                </c:pt>
                <c:pt idx="5">
                  <c:v>112.5</c:v>
                </c:pt>
                <c:pt idx="6">
                  <c:v>127.5</c:v>
                </c:pt>
              </c:numCache>
            </c:numRef>
          </c:cat>
          <c:val>
            <c:numRef>
              <c:f>Datos!$T$2:$T$8</c:f>
              <c:numCache>
                <c:formatCode>General</c:formatCode>
                <c:ptCount val="7"/>
                <c:pt idx="0">
                  <c:v>7</c:v>
                </c:pt>
                <c:pt idx="1">
                  <c:v>13</c:v>
                </c:pt>
                <c:pt idx="2">
                  <c:v>23</c:v>
                </c:pt>
                <c:pt idx="3">
                  <c:v>32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AF-4E11-920D-D675A6F55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91740"/>
        <c:axId val="660449430"/>
      </c:lineChart>
      <c:catAx>
        <c:axId val="110091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Punto Medio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60449430"/>
        <c:crosses val="autoZero"/>
        <c:auto val="1"/>
        <c:lblAlgn val="ctr"/>
        <c:lblOffset val="100"/>
        <c:noMultiLvlLbl val="1"/>
      </c:catAx>
      <c:valAx>
        <c:axId val="660449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Frecuencia Acumulada (Fi)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100917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28</xdr:row>
      <xdr:rowOff>228600</xdr:rowOff>
    </xdr:from>
    <xdr:ext cx="5276850" cy="2705100"/>
    <xdr:graphicFrame macro="">
      <xdr:nvGraphicFramePr>
        <xdr:cNvPr id="1743315654" name="Chart 1" title="Gráfico">
          <a:extLst>
            <a:ext uri="{FF2B5EF4-FFF2-40B4-BE49-F238E27FC236}">
              <a16:creationId xmlns:a16="http://schemas.microsoft.com/office/drawing/2014/main" id="{00000000-0008-0000-0000-0000C6E2E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57150</xdr:colOff>
      <xdr:row>29</xdr:row>
      <xdr:rowOff>114300</xdr:rowOff>
    </xdr:from>
    <xdr:ext cx="4276725" cy="2505075"/>
    <xdr:graphicFrame macro="">
      <xdr:nvGraphicFramePr>
        <xdr:cNvPr id="465030103" name="Chart 2" title="Gráfico">
          <a:extLst>
            <a:ext uri="{FF2B5EF4-FFF2-40B4-BE49-F238E27FC236}">
              <a16:creationId xmlns:a16="http://schemas.microsoft.com/office/drawing/2014/main" id="{00000000-0008-0000-0000-0000D7CBB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1066800</xdr:colOff>
      <xdr:row>16</xdr:row>
      <xdr:rowOff>285750</xdr:rowOff>
    </xdr:from>
    <xdr:ext cx="5715000" cy="3533775"/>
    <xdr:graphicFrame macro="">
      <xdr:nvGraphicFramePr>
        <xdr:cNvPr id="1003678222" name="Chart 3" title="Gráfico">
          <a:extLst>
            <a:ext uri="{FF2B5EF4-FFF2-40B4-BE49-F238E27FC236}">
              <a16:creationId xmlns:a16="http://schemas.microsoft.com/office/drawing/2014/main" id="{00000000-0008-0000-0000-00000EEAD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13</xdr:col>
      <xdr:colOff>1066800</xdr:colOff>
      <xdr:row>30</xdr:row>
      <xdr:rowOff>47625</xdr:rowOff>
    </xdr:from>
    <xdr:ext cx="4943475" cy="3057525"/>
    <xdr:graphicFrame macro="">
      <xdr:nvGraphicFramePr>
        <xdr:cNvPr id="628045080" name="Chart 4" title="Gráfico">
          <a:extLst>
            <a:ext uri="{FF2B5EF4-FFF2-40B4-BE49-F238E27FC236}">
              <a16:creationId xmlns:a16="http://schemas.microsoft.com/office/drawing/2014/main" id="{00000000-0008-0000-0000-000018356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18</xdr:col>
      <xdr:colOff>789668</xdr:colOff>
      <xdr:row>30</xdr:row>
      <xdr:rowOff>30001</xdr:rowOff>
    </xdr:from>
    <xdr:ext cx="4876800" cy="3114675"/>
    <xdr:graphicFrame macro="">
      <xdr:nvGraphicFramePr>
        <xdr:cNvPr id="1398625344" name="Chart 5" title="Gráfico">
          <a:extLst>
            <a:ext uri="{FF2B5EF4-FFF2-40B4-BE49-F238E27FC236}">
              <a16:creationId xmlns:a16="http://schemas.microsoft.com/office/drawing/2014/main" id="{00000000-0008-0000-0000-000040545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</xdr:col>
      <xdr:colOff>857250</xdr:colOff>
      <xdr:row>15</xdr:row>
      <xdr:rowOff>247650</xdr:rowOff>
    </xdr:from>
    <xdr:ext cx="6477000" cy="3514725"/>
    <xdr:pic>
      <xdr:nvPicPr>
        <xdr:cNvPr id="2" name="image1.png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51">
  <tableColumns count="5">
    <tableColumn id="1" xr3:uid="{00000000-0010-0000-0000-000001000000}" name="ID"/>
    <tableColumn id="2" xr3:uid="{00000000-0010-0000-0000-000002000000}" name="País"/>
    <tableColumn id="3" xr3:uid="{00000000-0010-0000-0000-000003000000}" name="Estado Socioeconómico"/>
    <tableColumn id="4" xr3:uid="{00000000-0010-0000-0000-000004000000}" name="Apps Descargadas"/>
    <tableColumn id="5" xr3:uid="{00000000-0010-0000-0000-000005000000}" name="Tiempo en Celular (horas)"/>
  </tableColumns>
  <tableStyleInfo name="Da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G1:M8">
  <tableColumns count="7">
    <tableColumn id="1" xr3:uid="{00000000-0010-0000-0100-000001000000}" name="LÍMITE INFERIOR"/>
    <tableColumn id="2" xr3:uid="{00000000-0010-0000-0100-000002000000}" name="LÍMITE SUPERIOR"/>
    <tableColumn id="3" xr3:uid="{00000000-0010-0000-0100-000003000000}" name="PUNTO MEDIO (MARCA DE CLASES)"/>
    <tableColumn id="4" xr3:uid="{00000000-0010-0000-0100-000004000000}" name="FRECUENCIA ABSOLUTA"/>
    <tableColumn id="5" xr3:uid="{00000000-0010-0000-0100-000005000000}" name="FRECUENCIA RELATIVA"/>
    <tableColumn id="6" xr3:uid="{00000000-0010-0000-0100-000006000000}" name="FRECUENCIA ACOMULADA"/>
    <tableColumn id="7" xr3:uid="{00000000-0010-0000-0100-000007000000}" name="FRECUENCIA RELATIVA ACUMULADA"/>
  </tableColumns>
  <tableStyleInfo name="Dat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J1" zoomScale="49" workbookViewId="0">
      <pane ySplit="1" topLeftCell="A2" activePane="bottomLeft" state="frozen"/>
      <selection pane="bottomLeft" activeCell="U20" sqref="U20"/>
    </sheetView>
  </sheetViews>
  <sheetFormatPr baseColWidth="10" defaultColWidth="12.6328125" defaultRowHeight="15" customHeight="1"/>
  <cols>
    <col min="1" max="1" width="12.7265625" customWidth="1"/>
    <col min="2" max="2" width="33.7265625" customWidth="1"/>
    <col min="3" max="3" width="23.7265625" customWidth="1"/>
    <col min="4" max="4" width="24.90625" customWidth="1"/>
    <col min="5" max="5" width="22.08984375" customWidth="1"/>
    <col min="6" max="6" width="12.7265625" customWidth="1"/>
    <col min="7" max="7" width="19.08984375" customWidth="1"/>
    <col min="8" max="8" width="19.7265625" customWidth="1"/>
    <col min="9" max="9" width="20.08984375" customWidth="1"/>
    <col min="10" max="10" width="23.08984375" customWidth="1"/>
    <col min="11" max="11" width="25.08984375" customWidth="1"/>
    <col min="12" max="12" width="21.7265625" customWidth="1"/>
    <col min="13" max="13" width="16.7265625" customWidth="1"/>
    <col min="14" max="14" width="15.08984375" customWidth="1"/>
    <col min="15" max="15" width="22.36328125" customWidth="1"/>
    <col min="16" max="16" width="14.7265625" customWidth="1"/>
    <col min="17" max="17" width="16.7265625" customWidth="1"/>
    <col min="18" max="18" width="18.08984375" customWidth="1"/>
    <col min="19" max="19" width="23.08984375" customWidth="1"/>
    <col min="20" max="20" width="20.7265625" customWidth="1"/>
    <col min="21" max="21" width="19.453125" customWidth="1"/>
    <col min="22" max="26" width="12.7265625" customWidth="1"/>
  </cols>
  <sheetData>
    <row r="1" spans="1:2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2" t="s">
        <v>11</v>
      </c>
      <c r="O1" s="4" t="s">
        <v>12</v>
      </c>
      <c r="P1" s="5" t="s">
        <v>6</v>
      </c>
      <c r="Q1" s="5" t="s">
        <v>13</v>
      </c>
      <c r="R1" s="5" t="s">
        <v>8</v>
      </c>
      <c r="S1" s="6" t="s">
        <v>9</v>
      </c>
      <c r="T1" s="5" t="s">
        <v>10</v>
      </c>
      <c r="U1" s="7" t="s">
        <v>11</v>
      </c>
      <c r="W1" s="8" t="s">
        <v>14</v>
      </c>
    </row>
    <row r="2" spans="1:24" ht="22.5" customHeight="1">
      <c r="A2" s="1">
        <v>1</v>
      </c>
      <c r="B2" s="1" t="s">
        <v>15</v>
      </c>
      <c r="C2" s="1" t="s">
        <v>16</v>
      </c>
      <c r="D2" s="1">
        <v>75</v>
      </c>
      <c r="E2" s="1">
        <v>4.5</v>
      </c>
      <c r="G2" s="9">
        <f>H11</f>
        <v>2.5</v>
      </c>
      <c r="H2" s="10">
        <f>G2+I15</f>
        <v>3.6</v>
      </c>
      <c r="I2" s="11">
        <f t="shared" ref="I2:I7" si="0">(G2+H2)/2</f>
        <v>3.05</v>
      </c>
      <c r="J2" s="11">
        <f t="shared" ref="J2:J7" si="1">COUNTIFS(E:E,"&gt;="&amp;G2,E:E, "&lt;"&amp;H2)</f>
        <v>10</v>
      </c>
      <c r="K2" s="12">
        <f t="shared" ref="K2:K8" si="2">J2/$J$8</f>
        <v>0.2</v>
      </c>
      <c r="L2" s="11">
        <f t="shared" ref="L2:M2" si="3">J2</f>
        <v>10</v>
      </c>
      <c r="M2" s="13">
        <f t="shared" si="3"/>
        <v>0.2</v>
      </c>
      <c r="O2" s="14">
        <f>P12</f>
        <v>30</v>
      </c>
      <c r="P2" s="15">
        <f>O2+R16</f>
        <v>45</v>
      </c>
      <c r="Q2" s="16">
        <f t="shared" ref="Q2:Q8" si="4">(O2+P2)/2</f>
        <v>37.5</v>
      </c>
      <c r="R2" s="17">
        <f t="shared" ref="R2:R8" si="5">COUNTIFS(D:D,"&gt;="&amp;O2,D:D, "&lt;"&amp;P2)</f>
        <v>7</v>
      </c>
      <c r="S2" s="18">
        <f t="shared" ref="S2:S9" si="6">R2/R$9</f>
        <v>0.14000000000000001</v>
      </c>
      <c r="T2" s="17">
        <f t="shared" ref="T2:U2" si="7">R2</f>
        <v>7</v>
      </c>
      <c r="U2" s="19">
        <f t="shared" si="7"/>
        <v>0.14000000000000001</v>
      </c>
      <c r="W2" s="20" t="str">
        <f t="shared" ref="W2:W8" si="8">O2&amp;" - "&amp;P2</f>
        <v>30 - 45</v>
      </c>
    </row>
    <row r="3" spans="1:24" ht="22.5" customHeight="1">
      <c r="A3" s="1">
        <v>2</v>
      </c>
      <c r="B3" s="1" t="s">
        <v>17</v>
      </c>
      <c r="C3" s="1" t="s">
        <v>18</v>
      </c>
      <c r="D3" s="1">
        <v>30</v>
      </c>
      <c r="E3" s="1">
        <v>2.8</v>
      </c>
      <c r="G3" s="10">
        <f t="shared" ref="G3:G7" si="9">H2</f>
        <v>3.6</v>
      </c>
      <c r="H3" s="10">
        <f>G3+I15</f>
        <v>4.7</v>
      </c>
      <c r="I3" s="11">
        <f t="shared" si="0"/>
        <v>4.1500000000000004</v>
      </c>
      <c r="J3" s="11">
        <f t="shared" si="1"/>
        <v>8</v>
      </c>
      <c r="K3" s="12">
        <f t="shared" si="2"/>
        <v>0.16</v>
      </c>
      <c r="L3" s="11">
        <f t="shared" ref="L3:M3" si="10">L2+J3</f>
        <v>18</v>
      </c>
      <c r="M3" s="13">
        <f t="shared" si="10"/>
        <v>0.36</v>
      </c>
      <c r="O3" s="21">
        <f t="shared" ref="O3:O8" si="11">P2</f>
        <v>45</v>
      </c>
      <c r="P3" s="22">
        <f>O3+R16</f>
        <v>60</v>
      </c>
      <c r="Q3" s="16">
        <f t="shared" si="4"/>
        <v>52.5</v>
      </c>
      <c r="R3" s="17">
        <f t="shared" si="5"/>
        <v>6</v>
      </c>
      <c r="S3" s="18">
        <f t="shared" si="6"/>
        <v>0.12</v>
      </c>
      <c r="T3" s="23">
        <f t="shared" ref="T3:U3" si="12">T2+R3</f>
        <v>13</v>
      </c>
      <c r="U3" s="24">
        <f t="shared" si="12"/>
        <v>0.26</v>
      </c>
      <c r="W3" s="20" t="str">
        <f t="shared" si="8"/>
        <v>45 - 60</v>
      </c>
    </row>
    <row r="4" spans="1:24" ht="22.5" customHeight="1">
      <c r="A4" s="1">
        <v>3</v>
      </c>
      <c r="B4" s="1" t="s">
        <v>19</v>
      </c>
      <c r="C4" s="1" t="s">
        <v>20</v>
      </c>
      <c r="D4" s="1">
        <v>120</v>
      </c>
      <c r="E4" s="1">
        <v>7.1</v>
      </c>
      <c r="G4" s="10">
        <f t="shared" si="9"/>
        <v>4.7</v>
      </c>
      <c r="H4" s="10">
        <f>G4+I15</f>
        <v>5.8000000000000007</v>
      </c>
      <c r="I4" s="11">
        <f t="shared" si="0"/>
        <v>5.25</v>
      </c>
      <c r="J4" s="11">
        <f t="shared" si="1"/>
        <v>12</v>
      </c>
      <c r="K4" s="12">
        <f t="shared" si="2"/>
        <v>0.24</v>
      </c>
      <c r="L4" s="11">
        <f t="shared" ref="L4:M4" si="13">L3+J4</f>
        <v>30</v>
      </c>
      <c r="M4" s="13">
        <f t="shared" si="13"/>
        <v>0.6</v>
      </c>
      <c r="O4" s="14">
        <f t="shared" si="11"/>
        <v>60</v>
      </c>
      <c r="P4" s="15">
        <f>O4+R16</f>
        <v>75</v>
      </c>
      <c r="Q4" s="16">
        <f t="shared" si="4"/>
        <v>67.5</v>
      </c>
      <c r="R4" s="17">
        <f t="shared" si="5"/>
        <v>10</v>
      </c>
      <c r="S4" s="18">
        <f t="shared" si="6"/>
        <v>0.2</v>
      </c>
      <c r="T4" s="17">
        <f t="shared" ref="T4:U4" si="14">T3+R4</f>
        <v>23</v>
      </c>
      <c r="U4" s="19">
        <f t="shared" si="14"/>
        <v>0.46</v>
      </c>
      <c r="W4" s="20" t="str">
        <f t="shared" si="8"/>
        <v>60 - 75</v>
      </c>
    </row>
    <row r="5" spans="1:24" ht="22.5" customHeight="1">
      <c r="A5" s="1">
        <v>4</v>
      </c>
      <c r="B5" s="1" t="s">
        <v>21</v>
      </c>
      <c r="C5" s="1" t="s">
        <v>16</v>
      </c>
      <c r="D5" s="1">
        <v>60</v>
      </c>
      <c r="E5" s="1">
        <v>5</v>
      </c>
      <c r="G5" s="10">
        <f t="shared" si="9"/>
        <v>5.8000000000000007</v>
      </c>
      <c r="H5" s="10">
        <f>G5+I15</f>
        <v>6.9</v>
      </c>
      <c r="I5" s="11">
        <f t="shared" si="0"/>
        <v>6.3500000000000005</v>
      </c>
      <c r="J5" s="11">
        <f t="shared" si="1"/>
        <v>13</v>
      </c>
      <c r="K5" s="12">
        <f t="shared" si="2"/>
        <v>0.26</v>
      </c>
      <c r="L5" s="11">
        <f t="shared" ref="L5:M5" si="15">L4+J5</f>
        <v>43</v>
      </c>
      <c r="M5" s="13">
        <f t="shared" si="15"/>
        <v>0.86</v>
      </c>
      <c r="O5" s="21">
        <f t="shared" si="11"/>
        <v>75</v>
      </c>
      <c r="P5" s="22">
        <f>O5+R16</f>
        <v>90</v>
      </c>
      <c r="Q5" s="16">
        <f t="shared" si="4"/>
        <v>82.5</v>
      </c>
      <c r="R5" s="17">
        <f t="shared" si="5"/>
        <v>9</v>
      </c>
      <c r="S5" s="18">
        <f t="shared" si="6"/>
        <v>0.18</v>
      </c>
      <c r="T5" s="23">
        <f t="shared" ref="T5:U5" si="16">T4+R5</f>
        <v>32</v>
      </c>
      <c r="U5" s="24">
        <f t="shared" si="16"/>
        <v>0.64</v>
      </c>
      <c r="W5" s="20" t="str">
        <f t="shared" si="8"/>
        <v>75 - 90</v>
      </c>
      <c r="X5" s="25"/>
    </row>
    <row r="6" spans="1:24" ht="22.5" customHeight="1">
      <c r="A6" s="1">
        <v>5</v>
      </c>
      <c r="B6" s="1" t="s">
        <v>22</v>
      </c>
      <c r="C6" s="1" t="s">
        <v>16</v>
      </c>
      <c r="D6" s="1">
        <v>85</v>
      </c>
      <c r="E6" s="1">
        <v>6.3</v>
      </c>
      <c r="G6" s="10">
        <f t="shared" si="9"/>
        <v>6.9</v>
      </c>
      <c r="H6" s="10">
        <f>G6+I15</f>
        <v>8</v>
      </c>
      <c r="I6" s="11">
        <f t="shared" si="0"/>
        <v>7.45</v>
      </c>
      <c r="J6" s="11">
        <f t="shared" si="1"/>
        <v>5</v>
      </c>
      <c r="K6" s="12">
        <f t="shared" si="2"/>
        <v>0.1</v>
      </c>
      <c r="L6" s="11">
        <f t="shared" ref="L6:M6" si="17">L5+J6</f>
        <v>48</v>
      </c>
      <c r="M6" s="13">
        <f t="shared" si="17"/>
        <v>0.96</v>
      </c>
      <c r="O6" s="14">
        <f t="shared" si="11"/>
        <v>90</v>
      </c>
      <c r="P6" s="15">
        <f>O6+R16</f>
        <v>105</v>
      </c>
      <c r="Q6" s="16">
        <f t="shared" si="4"/>
        <v>97.5</v>
      </c>
      <c r="R6" s="17">
        <f t="shared" si="5"/>
        <v>8</v>
      </c>
      <c r="S6" s="18">
        <f t="shared" si="6"/>
        <v>0.16</v>
      </c>
      <c r="T6" s="17">
        <f t="shared" ref="T6:U6" si="18">T5+R6</f>
        <v>40</v>
      </c>
      <c r="U6" s="19">
        <f t="shared" si="18"/>
        <v>0.8</v>
      </c>
      <c r="W6" s="20" t="str">
        <f t="shared" si="8"/>
        <v>90 - 105</v>
      </c>
    </row>
    <row r="7" spans="1:24" ht="22.5" customHeight="1">
      <c r="A7" s="1">
        <v>6</v>
      </c>
      <c r="B7" s="1" t="s">
        <v>23</v>
      </c>
      <c r="C7" s="1" t="s">
        <v>18</v>
      </c>
      <c r="D7" s="1">
        <v>45</v>
      </c>
      <c r="E7" s="1">
        <v>3.2</v>
      </c>
      <c r="G7" s="10">
        <f t="shared" si="9"/>
        <v>8</v>
      </c>
      <c r="H7" s="10">
        <f>G7+I15</f>
        <v>9.1</v>
      </c>
      <c r="I7" s="11">
        <f t="shared" si="0"/>
        <v>8.5500000000000007</v>
      </c>
      <c r="J7" s="11">
        <f t="shared" si="1"/>
        <v>2</v>
      </c>
      <c r="K7" s="12">
        <f t="shared" si="2"/>
        <v>0.04</v>
      </c>
      <c r="L7" s="11">
        <f t="shared" ref="L7:M7" si="19">L6+J7</f>
        <v>50</v>
      </c>
      <c r="M7" s="13">
        <f t="shared" si="19"/>
        <v>1</v>
      </c>
      <c r="O7" s="21">
        <f t="shared" si="11"/>
        <v>105</v>
      </c>
      <c r="P7" s="22">
        <f>O7+R16</f>
        <v>120</v>
      </c>
      <c r="Q7" s="16">
        <f t="shared" si="4"/>
        <v>112.5</v>
      </c>
      <c r="R7" s="17">
        <f t="shared" si="5"/>
        <v>5</v>
      </c>
      <c r="S7" s="18">
        <f t="shared" si="6"/>
        <v>0.1</v>
      </c>
      <c r="T7" s="23">
        <f t="shared" ref="T7:U7" si="20">T6+R7</f>
        <v>45</v>
      </c>
      <c r="U7" s="24">
        <f t="shared" si="20"/>
        <v>0.9</v>
      </c>
      <c r="W7" s="20" t="str">
        <f t="shared" si="8"/>
        <v>105 - 120</v>
      </c>
    </row>
    <row r="8" spans="1:24" ht="22.5" customHeight="1">
      <c r="A8" s="1">
        <v>7</v>
      </c>
      <c r="B8" s="1" t="s">
        <v>21</v>
      </c>
      <c r="C8" s="1" t="s">
        <v>16</v>
      </c>
      <c r="D8" s="1">
        <v>90</v>
      </c>
      <c r="E8" s="1">
        <v>5.8</v>
      </c>
      <c r="G8" s="26"/>
      <c r="H8" s="27"/>
      <c r="I8" s="11"/>
      <c r="J8" s="11">
        <f>SUM(J2:J7)</f>
        <v>50</v>
      </c>
      <c r="K8" s="12">
        <f t="shared" si="2"/>
        <v>1</v>
      </c>
      <c r="L8" s="26"/>
      <c r="M8" s="28"/>
      <c r="O8" s="14">
        <f t="shared" si="11"/>
        <v>120</v>
      </c>
      <c r="P8" s="15">
        <f>O8+R16</f>
        <v>135</v>
      </c>
      <c r="Q8" s="16">
        <f t="shared" si="4"/>
        <v>127.5</v>
      </c>
      <c r="R8" s="17">
        <f t="shared" si="5"/>
        <v>5</v>
      </c>
      <c r="S8" s="18">
        <f t="shared" si="6"/>
        <v>0.1</v>
      </c>
      <c r="T8" s="17">
        <f t="shared" ref="T8:U8" si="21">T7+R8</f>
        <v>50</v>
      </c>
      <c r="U8" s="19">
        <f t="shared" si="21"/>
        <v>1</v>
      </c>
      <c r="W8" s="29" t="str">
        <f t="shared" si="8"/>
        <v>120 - 135</v>
      </c>
    </row>
    <row r="9" spans="1:24" ht="22.5" customHeight="1">
      <c r="A9" s="1">
        <v>8</v>
      </c>
      <c r="B9" s="1" t="s">
        <v>17</v>
      </c>
      <c r="C9" s="1" t="s">
        <v>16</v>
      </c>
      <c r="D9" s="1">
        <v>70</v>
      </c>
      <c r="E9" s="1">
        <v>4.0999999999999996</v>
      </c>
      <c r="J9" s="30"/>
      <c r="O9" s="31"/>
      <c r="P9" s="32"/>
      <c r="Q9" s="32"/>
      <c r="R9" s="33">
        <f>SUM(R2:R8)</f>
        <v>50</v>
      </c>
      <c r="S9" s="34">
        <f t="shared" si="6"/>
        <v>1</v>
      </c>
      <c r="T9" s="32"/>
      <c r="U9" s="35"/>
    </row>
    <row r="10" spans="1:24" ht="22.5" customHeight="1">
      <c r="A10" s="1">
        <v>9</v>
      </c>
      <c r="B10" s="1" t="s">
        <v>19</v>
      </c>
      <c r="C10" s="1" t="s">
        <v>16</v>
      </c>
      <c r="D10" s="1">
        <v>100</v>
      </c>
      <c r="E10" s="1">
        <v>6.5</v>
      </c>
      <c r="J10" s="30"/>
    </row>
    <row r="11" spans="1:24" ht="22.5" customHeight="1">
      <c r="A11" s="1">
        <v>10</v>
      </c>
      <c r="B11" s="1" t="s">
        <v>21</v>
      </c>
      <c r="C11" s="1" t="s">
        <v>18</v>
      </c>
      <c r="D11" s="1">
        <v>50</v>
      </c>
      <c r="E11" s="1">
        <v>3.9</v>
      </c>
      <c r="G11" s="36" t="s">
        <v>24</v>
      </c>
      <c r="H11" s="37">
        <f>MIN(E:E)</f>
        <v>2.5</v>
      </c>
      <c r="J11" s="30"/>
      <c r="O11" s="38" t="s">
        <v>25</v>
      </c>
      <c r="P11" s="37">
        <v>50</v>
      </c>
    </row>
    <row r="12" spans="1:24" ht="22.5" customHeight="1">
      <c r="A12" s="1">
        <v>11</v>
      </c>
      <c r="B12" s="1" t="s">
        <v>22</v>
      </c>
      <c r="C12" s="1" t="s">
        <v>20</v>
      </c>
      <c r="D12" s="1">
        <v>110</v>
      </c>
      <c r="E12" s="1">
        <v>7.8</v>
      </c>
      <c r="G12" s="36" t="s">
        <v>26</v>
      </c>
      <c r="H12" s="37">
        <f>MAX(E:E)</f>
        <v>8.6</v>
      </c>
      <c r="J12" s="30"/>
      <c r="O12" s="39" t="s">
        <v>27</v>
      </c>
      <c r="P12" s="40">
        <f>MIN(Datos!$D$2:$D$51)</f>
        <v>30</v>
      </c>
    </row>
    <row r="13" spans="1:24" ht="22.5" customHeight="1">
      <c r="A13" s="1">
        <v>12</v>
      </c>
      <c r="B13" s="1" t="s">
        <v>23</v>
      </c>
      <c r="C13" s="1" t="s">
        <v>16</v>
      </c>
      <c r="D13" s="1">
        <v>65</v>
      </c>
      <c r="E13" s="1">
        <v>4.9000000000000004</v>
      </c>
      <c r="G13" s="36" t="s">
        <v>28</v>
      </c>
      <c r="H13" s="37">
        <f>H12-H11</f>
        <v>6.1</v>
      </c>
      <c r="J13" s="30"/>
      <c r="O13" s="39" t="s">
        <v>29</v>
      </c>
      <c r="P13" s="40">
        <f>MAX(Datos!$D$2:$D$51)</f>
        <v>132</v>
      </c>
    </row>
    <row r="14" spans="1:24" ht="22.5" customHeight="1">
      <c r="A14" s="1">
        <v>13</v>
      </c>
      <c r="B14" s="1" t="s">
        <v>21</v>
      </c>
      <c r="C14" s="1" t="s">
        <v>16</v>
      </c>
      <c r="D14" s="1">
        <v>80</v>
      </c>
      <c r="E14" s="1">
        <v>5.3</v>
      </c>
      <c r="G14" s="36" t="s">
        <v>30</v>
      </c>
      <c r="H14" s="37">
        <v>6</v>
      </c>
      <c r="I14" s="36" t="s">
        <v>31</v>
      </c>
      <c r="J14" s="30"/>
      <c r="O14" s="39" t="s">
        <v>28</v>
      </c>
      <c r="P14" s="40">
        <f>P13-P12</f>
        <v>102</v>
      </c>
      <c r="R14" s="41"/>
    </row>
    <row r="15" spans="1:24" ht="22.5" customHeight="1">
      <c r="A15" s="1">
        <v>14</v>
      </c>
      <c r="B15" s="1" t="s">
        <v>17</v>
      </c>
      <c r="C15" s="1" t="s">
        <v>18</v>
      </c>
      <c r="D15" s="1">
        <v>35</v>
      </c>
      <c r="E15" s="1">
        <v>2.5</v>
      </c>
      <c r="G15" s="36" t="s">
        <v>32</v>
      </c>
      <c r="H15" s="42">
        <f>H13/H14</f>
        <v>1.0166666666666666</v>
      </c>
      <c r="I15" s="43">
        <v>1.1000000000000001</v>
      </c>
      <c r="J15" s="30"/>
      <c r="O15" s="39" t="s">
        <v>33</v>
      </c>
      <c r="P15" s="44">
        <f>1+3.322*LOG10(50)</f>
        <v>6.6439783544042541</v>
      </c>
      <c r="Q15" s="45" t="s">
        <v>34</v>
      </c>
      <c r="R15" s="46">
        <v>7</v>
      </c>
    </row>
    <row r="16" spans="1:24" ht="22.5" customHeight="1">
      <c r="A16" s="1">
        <v>15</v>
      </c>
      <c r="B16" s="1" t="s">
        <v>19</v>
      </c>
      <c r="C16" s="1" t="s">
        <v>16</v>
      </c>
      <c r="D16" s="1">
        <v>95</v>
      </c>
      <c r="E16" s="1">
        <v>6</v>
      </c>
      <c r="J16" s="30"/>
      <c r="O16" s="39" t="s">
        <v>32</v>
      </c>
      <c r="P16" s="47">
        <f>P14/P15</f>
        <v>15.352247487739751</v>
      </c>
      <c r="Q16" s="48" t="s">
        <v>34</v>
      </c>
      <c r="R16" s="49">
        <v>15</v>
      </c>
    </row>
    <row r="17" spans="1:10" ht="22.5" customHeight="1">
      <c r="A17" s="1">
        <v>16</v>
      </c>
      <c r="B17" s="1" t="s">
        <v>21</v>
      </c>
      <c r="C17" s="1" t="s">
        <v>16</v>
      </c>
      <c r="D17" s="1">
        <v>70</v>
      </c>
      <c r="E17" s="1">
        <v>4.8</v>
      </c>
      <c r="J17" s="30"/>
    </row>
    <row r="18" spans="1:10" ht="22.5" customHeight="1">
      <c r="A18" s="1">
        <v>17</v>
      </c>
      <c r="B18" s="1" t="s">
        <v>22</v>
      </c>
      <c r="C18" s="1" t="s">
        <v>18</v>
      </c>
      <c r="D18" s="1">
        <v>40</v>
      </c>
      <c r="E18" s="1">
        <v>3</v>
      </c>
      <c r="J18" s="30"/>
    </row>
    <row r="19" spans="1:10" ht="22.5" customHeight="1">
      <c r="A19" s="1">
        <v>18</v>
      </c>
      <c r="B19" s="1" t="s">
        <v>23</v>
      </c>
      <c r="C19" s="1" t="s">
        <v>20</v>
      </c>
      <c r="D19" s="1">
        <v>130</v>
      </c>
      <c r="E19" s="1">
        <v>8.5</v>
      </c>
      <c r="J19" s="30"/>
    </row>
    <row r="20" spans="1:10" ht="22.5" customHeight="1">
      <c r="A20" s="1">
        <v>19</v>
      </c>
      <c r="B20" s="1" t="s">
        <v>21</v>
      </c>
      <c r="C20" s="1" t="s">
        <v>16</v>
      </c>
      <c r="D20" s="1">
        <v>105</v>
      </c>
      <c r="E20" s="1">
        <v>6.7</v>
      </c>
      <c r="J20" s="30"/>
    </row>
    <row r="21" spans="1:10" ht="22.5" customHeight="1">
      <c r="A21" s="1">
        <v>20</v>
      </c>
      <c r="B21" s="1" t="s">
        <v>17</v>
      </c>
      <c r="C21" s="1" t="s">
        <v>16</v>
      </c>
      <c r="D21" s="1">
        <v>80</v>
      </c>
      <c r="E21" s="1">
        <v>5.5</v>
      </c>
      <c r="J21" s="30"/>
    </row>
    <row r="22" spans="1:10" ht="22.5" customHeight="1">
      <c r="A22" s="1">
        <v>21</v>
      </c>
      <c r="B22" s="1" t="s">
        <v>21</v>
      </c>
      <c r="C22" s="1" t="s">
        <v>16</v>
      </c>
      <c r="D22" s="1">
        <v>72</v>
      </c>
      <c r="E22" s="1">
        <v>4.5999999999999996</v>
      </c>
      <c r="J22" s="30"/>
    </row>
    <row r="23" spans="1:10" ht="22.5" customHeight="1">
      <c r="A23" s="1">
        <v>22</v>
      </c>
      <c r="B23" s="1" t="s">
        <v>17</v>
      </c>
      <c r="C23" s="1" t="s">
        <v>18</v>
      </c>
      <c r="D23" s="1">
        <v>33</v>
      </c>
      <c r="E23" s="1">
        <v>2.9</v>
      </c>
      <c r="J23" s="30"/>
    </row>
    <row r="24" spans="1:10" ht="22.5" customHeight="1">
      <c r="A24" s="1">
        <v>23</v>
      </c>
      <c r="B24" s="1" t="s">
        <v>19</v>
      </c>
      <c r="C24" s="1" t="s">
        <v>20</v>
      </c>
      <c r="D24" s="1">
        <v>125</v>
      </c>
      <c r="E24" s="1">
        <v>7.3</v>
      </c>
      <c r="J24" s="30"/>
    </row>
    <row r="25" spans="1:10" ht="22.5" customHeight="1">
      <c r="A25" s="1">
        <v>24</v>
      </c>
      <c r="B25" s="1" t="s">
        <v>21</v>
      </c>
      <c r="C25" s="1" t="s">
        <v>16</v>
      </c>
      <c r="D25" s="1">
        <v>63</v>
      </c>
      <c r="E25" s="1">
        <v>5.0999999999999996</v>
      </c>
      <c r="J25" s="30"/>
    </row>
    <row r="26" spans="1:10" ht="22.5" customHeight="1">
      <c r="A26" s="1">
        <v>25</v>
      </c>
      <c r="B26" s="1" t="s">
        <v>22</v>
      </c>
      <c r="C26" s="1" t="s">
        <v>16</v>
      </c>
      <c r="D26" s="1">
        <v>88</v>
      </c>
      <c r="E26" s="1">
        <v>6.4</v>
      </c>
      <c r="J26" s="30"/>
    </row>
    <row r="27" spans="1:10" ht="22.5" customHeight="1">
      <c r="A27" s="1">
        <v>26</v>
      </c>
      <c r="B27" s="1" t="s">
        <v>23</v>
      </c>
      <c r="C27" s="1" t="s">
        <v>18</v>
      </c>
      <c r="D27" s="1">
        <v>48</v>
      </c>
      <c r="E27" s="1">
        <v>3.3</v>
      </c>
      <c r="J27" s="30"/>
    </row>
    <row r="28" spans="1:10" ht="22.5" customHeight="1">
      <c r="A28" s="1">
        <v>27</v>
      </c>
      <c r="B28" s="1" t="s">
        <v>21</v>
      </c>
      <c r="C28" s="1" t="s">
        <v>16</v>
      </c>
      <c r="D28" s="1">
        <v>92</v>
      </c>
      <c r="E28" s="1">
        <v>5.9</v>
      </c>
      <c r="J28" s="30"/>
    </row>
    <row r="29" spans="1:10" ht="22.5" customHeight="1">
      <c r="A29" s="1">
        <v>28</v>
      </c>
      <c r="B29" s="1" t="s">
        <v>17</v>
      </c>
      <c r="C29" s="1" t="s">
        <v>16</v>
      </c>
      <c r="D29" s="1">
        <v>73</v>
      </c>
      <c r="E29" s="1">
        <v>4.2</v>
      </c>
      <c r="J29" s="30"/>
    </row>
    <row r="30" spans="1:10" ht="22.5" customHeight="1">
      <c r="A30" s="1">
        <v>29</v>
      </c>
      <c r="B30" s="1" t="s">
        <v>19</v>
      </c>
      <c r="C30" s="1" t="s">
        <v>16</v>
      </c>
      <c r="D30" s="1">
        <v>103</v>
      </c>
      <c r="E30" s="1">
        <v>6.6</v>
      </c>
      <c r="J30" s="30"/>
    </row>
    <row r="31" spans="1:10" ht="22.5" customHeight="1">
      <c r="A31" s="1">
        <v>30</v>
      </c>
      <c r="B31" s="1" t="s">
        <v>21</v>
      </c>
      <c r="C31" s="1" t="s">
        <v>18</v>
      </c>
      <c r="D31" s="1">
        <v>52</v>
      </c>
      <c r="E31" s="1">
        <v>4</v>
      </c>
      <c r="J31" s="30"/>
    </row>
    <row r="32" spans="1:10" ht="22.5" customHeight="1">
      <c r="A32" s="1">
        <v>31</v>
      </c>
      <c r="B32" s="1" t="s">
        <v>22</v>
      </c>
      <c r="C32" s="1" t="s">
        <v>20</v>
      </c>
      <c r="D32" s="1">
        <v>112</v>
      </c>
      <c r="E32" s="1">
        <v>7.9</v>
      </c>
      <c r="J32" s="30"/>
    </row>
    <row r="33" spans="1:10" ht="22.5" customHeight="1">
      <c r="A33" s="1">
        <v>32</v>
      </c>
      <c r="B33" s="1" t="s">
        <v>23</v>
      </c>
      <c r="C33" s="1" t="s">
        <v>16</v>
      </c>
      <c r="D33" s="1">
        <v>68</v>
      </c>
      <c r="E33" s="1">
        <v>5</v>
      </c>
      <c r="J33" s="30"/>
    </row>
    <row r="34" spans="1:10" ht="22.5" customHeight="1">
      <c r="A34" s="1">
        <v>33</v>
      </c>
      <c r="B34" s="1" t="s">
        <v>21</v>
      </c>
      <c r="C34" s="1" t="s">
        <v>16</v>
      </c>
      <c r="D34" s="1">
        <v>82</v>
      </c>
      <c r="E34" s="1">
        <v>5.4</v>
      </c>
      <c r="J34" s="30"/>
    </row>
    <row r="35" spans="1:10" ht="22.5" customHeight="1">
      <c r="A35" s="1">
        <v>34</v>
      </c>
      <c r="B35" s="1" t="s">
        <v>17</v>
      </c>
      <c r="C35" s="1" t="s">
        <v>18</v>
      </c>
      <c r="D35" s="1">
        <v>38</v>
      </c>
      <c r="E35" s="1">
        <v>2.6</v>
      </c>
      <c r="J35" s="30"/>
    </row>
    <row r="36" spans="1:10" ht="22.5" customHeight="1">
      <c r="A36" s="1">
        <v>35</v>
      </c>
      <c r="B36" s="1" t="s">
        <v>19</v>
      </c>
      <c r="C36" s="1" t="s">
        <v>16</v>
      </c>
      <c r="D36" s="1">
        <v>98</v>
      </c>
      <c r="E36" s="1">
        <v>6.1</v>
      </c>
      <c r="J36" s="30"/>
    </row>
    <row r="37" spans="1:10" ht="22.5" customHeight="1">
      <c r="A37" s="1">
        <v>36</v>
      </c>
      <c r="B37" s="1" t="s">
        <v>21</v>
      </c>
      <c r="C37" s="1" t="s">
        <v>16</v>
      </c>
      <c r="D37" s="1">
        <v>71</v>
      </c>
      <c r="E37" s="1">
        <v>4.7</v>
      </c>
      <c r="J37" s="30"/>
    </row>
    <row r="38" spans="1:10" ht="22.5" customHeight="1">
      <c r="A38" s="1">
        <v>37</v>
      </c>
      <c r="B38" s="1" t="s">
        <v>22</v>
      </c>
      <c r="C38" s="1" t="s">
        <v>18</v>
      </c>
      <c r="D38" s="1">
        <v>42</v>
      </c>
      <c r="E38" s="1">
        <v>3.1</v>
      </c>
      <c r="J38" s="30"/>
    </row>
    <row r="39" spans="1:10" ht="22.5" customHeight="1">
      <c r="A39" s="1">
        <v>38</v>
      </c>
      <c r="B39" s="1" t="s">
        <v>23</v>
      </c>
      <c r="C39" s="1" t="s">
        <v>20</v>
      </c>
      <c r="D39" s="1">
        <v>132</v>
      </c>
      <c r="E39" s="1">
        <v>8.6</v>
      </c>
      <c r="J39" s="30"/>
    </row>
    <row r="40" spans="1:10" ht="22.5" customHeight="1">
      <c r="A40" s="1">
        <v>39</v>
      </c>
      <c r="B40" s="1" t="s">
        <v>21</v>
      </c>
      <c r="C40" s="1" t="s">
        <v>16</v>
      </c>
      <c r="D40" s="1">
        <v>107</v>
      </c>
      <c r="E40" s="1">
        <v>6.8</v>
      </c>
      <c r="J40" s="30"/>
    </row>
    <row r="41" spans="1:10" ht="22.5" customHeight="1">
      <c r="A41" s="1">
        <v>40</v>
      </c>
      <c r="B41" s="1" t="s">
        <v>17</v>
      </c>
      <c r="C41" s="1" t="s">
        <v>16</v>
      </c>
      <c r="D41" s="1">
        <v>83</v>
      </c>
      <c r="E41" s="1">
        <v>5.6</v>
      </c>
      <c r="J41" s="30"/>
    </row>
    <row r="42" spans="1:10" ht="22.5" customHeight="1">
      <c r="A42" s="1">
        <v>41</v>
      </c>
      <c r="B42" s="1" t="s">
        <v>21</v>
      </c>
      <c r="C42" s="1" t="s">
        <v>16</v>
      </c>
      <c r="D42" s="1">
        <v>78</v>
      </c>
      <c r="E42" s="1">
        <v>5</v>
      </c>
      <c r="J42" s="30"/>
    </row>
    <row r="43" spans="1:10" ht="22.5" customHeight="1">
      <c r="A43" s="1">
        <v>42</v>
      </c>
      <c r="B43" s="1" t="s">
        <v>17</v>
      </c>
      <c r="C43" s="1" t="s">
        <v>18</v>
      </c>
      <c r="D43" s="1">
        <v>36</v>
      </c>
      <c r="E43" s="1">
        <v>2.7</v>
      </c>
      <c r="J43" s="30"/>
    </row>
    <row r="44" spans="1:10" ht="22.5" customHeight="1">
      <c r="A44" s="1">
        <v>43</v>
      </c>
      <c r="B44" s="1" t="s">
        <v>19</v>
      </c>
      <c r="C44" s="1" t="s">
        <v>20</v>
      </c>
      <c r="D44" s="1">
        <v>128</v>
      </c>
      <c r="E44" s="1">
        <v>7.5</v>
      </c>
      <c r="J44" s="30"/>
    </row>
    <row r="45" spans="1:10" ht="22.5" customHeight="1">
      <c r="A45" s="1">
        <v>44</v>
      </c>
      <c r="B45" s="1" t="s">
        <v>21</v>
      </c>
      <c r="C45" s="1" t="s">
        <v>16</v>
      </c>
      <c r="D45" s="1">
        <v>65</v>
      </c>
      <c r="E45" s="1">
        <v>5.2</v>
      </c>
      <c r="J45" s="30"/>
    </row>
    <row r="46" spans="1:10" ht="22.5" customHeight="1">
      <c r="A46" s="1">
        <v>45</v>
      </c>
      <c r="B46" s="1" t="s">
        <v>22</v>
      </c>
      <c r="C46" s="1" t="s">
        <v>16</v>
      </c>
      <c r="D46" s="1">
        <v>90</v>
      </c>
      <c r="E46" s="1">
        <v>6.5</v>
      </c>
      <c r="J46" s="30"/>
    </row>
    <row r="47" spans="1:10" ht="22.5" customHeight="1">
      <c r="A47" s="1">
        <v>46</v>
      </c>
      <c r="B47" s="1" t="s">
        <v>23</v>
      </c>
      <c r="C47" s="1" t="s">
        <v>18</v>
      </c>
      <c r="D47" s="1">
        <v>47</v>
      </c>
      <c r="E47" s="1">
        <v>3.4</v>
      </c>
      <c r="J47" s="30"/>
    </row>
    <row r="48" spans="1:10" ht="22.5" customHeight="1">
      <c r="A48" s="1">
        <v>47</v>
      </c>
      <c r="B48" s="1" t="s">
        <v>21</v>
      </c>
      <c r="C48" s="1" t="s">
        <v>16</v>
      </c>
      <c r="D48" s="1">
        <v>95</v>
      </c>
      <c r="E48" s="1">
        <v>6</v>
      </c>
      <c r="J48" s="30"/>
    </row>
    <row r="49" spans="1:10" ht="22.5" customHeight="1">
      <c r="A49" s="1">
        <v>48</v>
      </c>
      <c r="B49" s="1" t="s">
        <v>17</v>
      </c>
      <c r="C49" s="1" t="s">
        <v>16</v>
      </c>
      <c r="D49" s="1">
        <v>75</v>
      </c>
      <c r="E49" s="1">
        <v>4.3</v>
      </c>
      <c r="J49" s="30"/>
    </row>
    <row r="50" spans="1:10" ht="22.5" customHeight="1">
      <c r="A50" s="1">
        <v>49</v>
      </c>
      <c r="B50" s="1" t="s">
        <v>19</v>
      </c>
      <c r="C50" s="1" t="s">
        <v>16</v>
      </c>
      <c r="D50" s="1">
        <v>105</v>
      </c>
      <c r="E50" s="1">
        <v>6.7</v>
      </c>
      <c r="J50" s="30"/>
    </row>
    <row r="51" spans="1:10" ht="22.5" customHeight="1">
      <c r="A51" s="1">
        <v>50</v>
      </c>
      <c r="B51" s="1" t="s">
        <v>21</v>
      </c>
      <c r="C51" s="1" t="s">
        <v>18</v>
      </c>
      <c r="D51" s="1">
        <v>55</v>
      </c>
      <c r="E51" s="1">
        <v>4.0999999999999996</v>
      </c>
      <c r="J51" s="30"/>
    </row>
    <row r="52" spans="1:10" ht="15.75" customHeight="1">
      <c r="A52" s="50"/>
      <c r="B52" s="50"/>
      <c r="C52" s="50"/>
      <c r="D52" s="50"/>
      <c r="E52" s="50"/>
      <c r="J52" s="30"/>
    </row>
    <row r="53" spans="1:10" ht="15.75" customHeight="1">
      <c r="A53" s="50"/>
      <c r="B53" s="50"/>
      <c r="C53" s="50"/>
      <c r="D53" s="50"/>
      <c r="E53" s="50"/>
      <c r="J53" s="30"/>
    </row>
    <row r="54" spans="1:10" ht="15.75" customHeight="1">
      <c r="A54" s="50"/>
      <c r="B54" s="50"/>
      <c r="C54" s="50"/>
      <c r="D54" s="50"/>
      <c r="E54" s="50"/>
      <c r="J54" s="30"/>
    </row>
    <row r="55" spans="1:10" ht="15.75" customHeight="1">
      <c r="A55" s="50"/>
      <c r="B55" s="50"/>
      <c r="C55" s="50"/>
      <c r="D55" s="50"/>
      <c r="E55" s="50"/>
      <c r="J55" s="30"/>
    </row>
    <row r="56" spans="1:10" ht="15.75" customHeight="1">
      <c r="A56" s="50"/>
      <c r="B56" s="50"/>
      <c r="C56" s="50"/>
      <c r="D56" s="50"/>
      <c r="E56" s="50"/>
      <c r="J56" s="30"/>
    </row>
    <row r="57" spans="1:10" ht="15.75" customHeight="1">
      <c r="A57" s="50"/>
      <c r="B57" s="50"/>
      <c r="C57" s="50"/>
      <c r="D57" s="50"/>
      <c r="E57" s="50"/>
      <c r="J57" s="30"/>
    </row>
    <row r="58" spans="1:10" ht="15.75" customHeight="1">
      <c r="A58" s="50"/>
      <c r="B58" s="50"/>
      <c r="C58" s="50"/>
      <c r="D58" s="50"/>
      <c r="E58" s="50"/>
      <c r="J58" s="30"/>
    </row>
    <row r="59" spans="1:10" ht="15.75" customHeight="1">
      <c r="A59" s="50"/>
      <c r="B59" s="50"/>
      <c r="C59" s="50"/>
      <c r="D59" s="50"/>
      <c r="E59" s="50"/>
      <c r="J59" s="30"/>
    </row>
    <row r="60" spans="1:10" ht="15.75" customHeight="1">
      <c r="A60" s="50"/>
      <c r="B60" s="50"/>
      <c r="C60" s="50"/>
      <c r="D60" s="50"/>
      <c r="E60" s="50"/>
      <c r="J60" s="30"/>
    </row>
    <row r="61" spans="1:10" ht="15.75" customHeight="1">
      <c r="A61" s="50"/>
      <c r="B61" s="50"/>
      <c r="C61" s="50"/>
      <c r="D61" s="50"/>
      <c r="E61" s="50"/>
      <c r="J61" s="30"/>
    </row>
    <row r="62" spans="1:10" ht="15.75" customHeight="1">
      <c r="A62" s="50"/>
      <c r="B62" s="50"/>
      <c r="C62" s="50"/>
      <c r="D62" s="50"/>
      <c r="E62" s="50"/>
      <c r="J62" s="30"/>
    </row>
    <row r="63" spans="1:10" ht="15.75" customHeight="1">
      <c r="A63" s="50"/>
      <c r="B63" s="50"/>
      <c r="C63" s="50"/>
      <c r="D63" s="50"/>
      <c r="E63" s="50"/>
      <c r="J63" s="30"/>
    </row>
    <row r="64" spans="1:10" ht="15.75" customHeight="1">
      <c r="A64" s="50"/>
      <c r="B64" s="50"/>
      <c r="C64" s="50"/>
      <c r="D64" s="50"/>
      <c r="E64" s="50"/>
      <c r="J64" s="30"/>
    </row>
    <row r="65" spans="1:10" ht="15.75" customHeight="1">
      <c r="A65" s="50"/>
      <c r="B65" s="50"/>
      <c r="C65" s="50"/>
      <c r="D65" s="50"/>
      <c r="E65" s="50"/>
      <c r="J65" s="30"/>
    </row>
    <row r="66" spans="1:10" ht="15.75" customHeight="1">
      <c r="A66" s="50"/>
      <c r="B66" s="50"/>
      <c r="C66" s="50"/>
      <c r="D66" s="50"/>
      <c r="E66" s="50"/>
      <c r="J66" s="30"/>
    </row>
    <row r="67" spans="1:10" ht="15.75" customHeight="1">
      <c r="A67" s="50"/>
      <c r="B67" s="50"/>
      <c r="C67" s="50"/>
      <c r="D67" s="50"/>
      <c r="E67" s="50"/>
      <c r="J67" s="30"/>
    </row>
    <row r="68" spans="1:10" ht="15.75" customHeight="1">
      <c r="A68" s="50"/>
      <c r="B68" s="50"/>
      <c r="C68" s="50"/>
      <c r="D68" s="50"/>
      <c r="E68" s="50"/>
      <c r="J68" s="30"/>
    </row>
    <row r="69" spans="1:10" ht="15.75" customHeight="1">
      <c r="A69" s="50"/>
      <c r="B69" s="50"/>
      <c r="C69" s="50"/>
      <c r="D69" s="50"/>
      <c r="E69" s="50"/>
      <c r="J69" s="30"/>
    </row>
    <row r="70" spans="1:10" ht="15.75" customHeight="1">
      <c r="A70" s="50"/>
      <c r="B70" s="50"/>
      <c r="C70" s="50"/>
      <c r="D70" s="50"/>
      <c r="E70" s="50"/>
      <c r="J70" s="30"/>
    </row>
    <row r="71" spans="1:10" ht="15.75" customHeight="1">
      <c r="A71" s="50"/>
      <c r="B71" s="50"/>
      <c r="C71" s="50"/>
      <c r="D71" s="50"/>
      <c r="E71" s="50"/>
      <c r="J71" s="30"/>
    </row>
    <row r="72" spans="1:10" ht="15.75" customHeight="1">
      <c r="A72" s="50"/>
      <c r="B72" s="50"/>
      <c r="C72" s="50"/>
      <c r="D72" s="50"/>
      <c r="E72" s="50"/>
      <c r="J72" s="30"/>
    </row>
    <row r="73" spans="1:10" ht="15.75" customHeight="1">
      <c r="A73" s="50"/>
      <c r="B73" s="50"/>
      <c r="C73" s="50"/>
      <c r="D73" s="50"/>
      <c r="E73" s="50"/>
      <c r="J73" s="30"/>
    </row>
    <row r="74" spans="1:10" ht="15.75" customHeight="1">
      <c r="A74" s="50"/>
      <c r="B74" s="50"/>
      <c r="C74" s="50"/>
      <c r="D74" s="50"/>
      <c r="E74" s="50"/>
      <c r="J74" s="30"/>
    </row>
    <row r="75" spans="1:10" ht="15.75" customHeight="1">
      <c r="A75" s="50"/>
      <c r="B75" s="50"/>
      <c r="C75" s="50"/>
      <c r="D75" s="50"/>
      <c r="E75" s="50"/>
      <c r="J75" s="30"/>
    </row>
    <row r="76" spans="1:10" ht="15.75" customHeight="1">
      <c r="A76" s="50"/>
      <c r="B76" s="50"/>
      <c r="C76" s="50"/>
      <c r="D76" s="50"/>
      <c r="E76" s="50"/>
      <c r="J76" s="30"/>
    </row>
    <row r="77" spans="1:10" ht="15.75" customHeight="1">
      <c r="A77" s="50"/>
      <c r="B77" s="50"/>
      <c r="C77" s="50"/>
      <c r="D77" s="50"/>
      <c r="E77" s="50"/>
      <c r="J77" s="30"/>
    </row>
    <row r="78" spans="1:10" ht="15.75" customHeight="1">
      <c r="A78" s="50"/>
      <c r="B78" s="50"/>
      <c r="C78" s="50"/>
      <c r="D78" s="50"/>
      <c r="E78" s="50"/>
      <c r="J78" s="30"/>
    </row>
    <row r="79" spans="1:10" ht="15.75" customHeight="1">
      <c r="A79" s="50"/>
      <c r="B79" s="50"/>
      <c r="C79" s="50"/>
      <c r="D79" s="50"/>
      <c r="E79" s="50"/>
      <c r="J79" s="30"/>
    </row>
    <row r="80" spans="1:10" ht="15.75" customHeight="1">
      <c r="A80" s="50"/>
      <c r="B80" s="50"/>
      <c r="C80" s="50"/>
      <c r="D80" s="50"/>
      <c r="E80" s="50"/>
      <c r="J80" s="30"/>
    </row>
    <row r="81" spans="1:10" ht="15.75" customHeight="1">
      <c r="A81" s="50"/>
      <c r="B81" s="50"/>
      <c r="C81" s="50"/>
      <c r="D81" s="50"/>
      <c r="E81" s="50"/>
      <c r="J81" s="30"/>
    </row>
    <row r="82" spans="1:10" ht="15.75" customHeight="1">
      <c r="A82" s="50"/>
      <c r="B82" s="50"/>
      <c r="C82" s="50"/>
      <c r="D82" s="50"/>
      <c r="E82" s="50"/>
      <c r="J82" s="30"/>
    </row>
    <row r="83" spans="1:10" ht="15.75" customHeight="1">
      <c r="A83" s="50"/>
      <c r="B83" s="50"/>
      <c r="C83" s="50"/>
      <c r="D83" s="50"/>
      <c r="E83" s="50"/>
      <c r="J83" s="30"/>
    </row>
    <row r="84" spans="1:10" ht="15.75" customHeight="1">
      <c r="A84" s="50"/>
      <c r="B84" s="50"/>
      <c r="C84" s="50"/>
      <c r="D84" s="50"/>
      <c r="E84" s="50"/>
      <c r="J84" s="30"/>
    </row>
    <row r="85" spans="1:10" ht="15.75" customHeight="1">
      <c r="A85" s="50"/>
      <c r="B85" s="50"/>
      <c r="C85" s="50"/>
      <c r="D85" s="50"/>
      <c r="E85" s="50"/>
      <c r="J85" s="30"/>
    </row>
    <row r="86" spans="1:10" ht="15.75" customHeight="1">
      <c r="A86" s="50"/>
      <c r="B86" s="50"/>
      <c r="C86" s="50"/>
      <c r="D86" s="50"/>
      <c r="E86" s="50"/>
      <c r="J86" s="30"/>
    </row>
    <row r="87" spans="1:10" ht="15.75" customHeight="1">
      <c r="A87" s="50"/>
      <c r="B87" s="50"/>
      <c r="C87" s="50"/>
      <c r="D87" s="50"/>
      <c r="E87" s="50"/>
      <c r="J87" s="30"/>
    </row>
    <row r="88" spans="1:10" ht="15.75" customHeight="1">
      <c r="A88" s="50"/>
      <c r="B88" s="50"/>
      <c r="C88" s="50"/>
      <c r="D88" s="50"/>
      <c r="E88" s="50"/>
      <c r="J88" s="30"/>
    </row>
    <row r="89" spans="1:10" ht="15.75" customHeight="1">
      <c r="A89" s="50"/>
      <c r="B89" s="50"/>
      <c r="C89" s="50"/>
      <c r="D89" s="50"/>
      <c r="E89" s="50"/>
      <c r="J89" s="30"/>
    </row>
    <row r="90" spans="1:10" ht="15.75" customHeight="1">
      <c r="A90" s="50"/>
      <c r="B90" s="50"/>
      <c r="C90" s="50"/>
      <c r="D90" s="50"/>
      <c r="E90" s="50"/>
      <c r="J90" s="30"/>
    </row>
    <row r="91" spans="1:10" ht="15.75" customHeight="1">
      <c r="A91" s="50"/>
      <c r="B91" s="50"/>
      <c r="C91" s="50"/>
      <c r="D91" s="50"/>
      <c r="E91" s="50"/>
      <c r="J91" s="30"/>
    </row>
    <row r="92" spans="1:10" ht="15.75" customHeight="1">
      <c r="A92" s="50"/>
      <c r="B92" s="50"/>
      <c r="C92" s="50"/>
      <c r="D92" s="50"/>
      <c r="E92" s="50"/>
      <c r="J92" s="30"/>
    </row>
    <row r="93" spans="1:10" ht="15.75" customHeight="1">
      <c r="A93" s="50"/>
      <c r="B93" s="50"/>
      <c r="C93" s="50"/>
      <c r="D93" s="50"/>
      <c r="E93" s="50"/>
      <c r="J93" s="30"/>
    </row>
    <row r="94" spans="1:10" ht="15.75" customHeight="1">
      <c r="A94" s="50"/>
      <c r="B94" s="50"/>
      <c r="C94" s="50"/>
      <c r="D94" s="50"/>
      <c r="E94" s="50"/>
      <c r="J94" s="30"/>
    </row>
    <row r="95" spans="1:10" ht="15.75" customHeight="1">
      <c r="A95" s="50"/>
      <c r="B95" s="50"/>
      <c r="C95" s="50"/>
      <c r="D95" s="50"/>
      <c r="E95" s="50"/>
      <c r="J95" s="30"/>
    </row>
    <row r="96" spans="1:10" ht="15.75" customHeight="1">
      <c r="A96" s="50"/>
      <c r="B96" s="50"/>
      <c r="C96" s="50"/>
      <c r="D96" s="50"/>
      <c r="E96" s="50"/>
      <c r="J96" s="30"/>
    </row>
    <row r="97" spans="1:10" ht="15.75" customHeight="1">
      <c r="A97" s="50"/>
      <c r="B97" s="50"/>
      <c r="C97" s="50"/>
      <c r="D97" s="50"/>
      <c r="E97" s="50"/>
      <c r="J97" s="30"/>
    </row>
    <row r="98" spans="1:10" ht="15.75" customHeight="1">
      <c r="A98" s="50"/>
      <c r="B98" s="50"/>
      <c r="C98" s="50"/>
      <c r="D98" s="50"/>
      <c r="E98" s="50"/>
      <c r="J98" s="30"/>
    </row>
    <row r="99" spans="1:10" ht="15.75" customHeight="1">
      <c r="A99" s="50"/>
      <c r="B99" s="50"/>
      <c r="C99" s="50"/>
      <c r="D99" s="50"/>
      <c r="E99" s="50"/>
      <c r="J99" s="30"/>
    </row>
    <row r="100" spans="1:10" ht="15.75" customHeight="1">
      <c r="A100" s="50"/>
      <c r="B100" s="50"/>
      <c r="C100" s="50"/>
      <c r="D100" s="50"/>
      <c r="E100" s="50"/>
      <c r="J100" s="30"/>
    </row>
    <row r="101" spans="1:10" ht="15.75" customHeight="1">
      <c r="A101" s="50"/>
      <c r="B101" s="50"/>
      <c r="C101" s="50"/>
      <c r="D101" s="50"/>
      <c r="E101" s="50"/>
      <c r="J101" s="30"/>
    </row>
    <row r="102" spans="1:10" ht="15.75" customHeight="1">
      <c r="A102" s="50"/>
      <c r="B102" s="50"/>
      <c r="C102" s="50"/>
      <c r="D102" s="50"/>
      <c r="E102" s="50"/>
      <c r="J102" s="30"/>
    </row>
    <row r="103" spans="1:10" ht="15.75" customHeight="1">
      <c r="A103" s="50"/>
      <c r="B103" s="50"/>
      <c r="C103" s="50"/>
      <c r="D103" s="50"/>
      <c r="E103" s="50"/>
      <c r="J103" s="30"/>
    </row>
    <row r="104" spans="1:10" ht="15.75" customHeight="1">
      <c r="A104" s="50"/>
      <c r="B104" s="50"/>
      <c r="C104" s="50"/>
      <c r="D104" s="50"/>
      <c r="E104" s="50"/>
      <c r="J104" s="30"/>
    </row>
    <row r="105" spans="1:10" ht="15.75" customHeight="1">
      <c r="A105" s="50"/>
      <c r="B105" s="50"/>
      <c r="C105" s="50"/>
      <c r="D105" s="50"/>
      <c r="E105" s="50"/>
      <c r="J105" s="30"/>
    </row>
    <row r="106" spans="1:10" ht="15.75" customHeight="1">
      <c r="A106" s="50"/>
      <c r="B106" s="50"/>
      <c r="C106" s="50"/>
      <c r="D106" s="50"/>
      <c r="E106" s="50"/>
      <c r="J106" s="30"/>
    </row>
    <row r="107" spans="1:10" ht="15.75" customHeight="1">
      <c r="A107" s="50"/>
      <c r="B107" s="50"/>
      <c r="C107" s="50"/>
      <c r="D107" s="50"/>
      <c r="E107" s="50"/>
      <c r="J107" s="30"/>
    </row>
    <row r="108" spans="1:10" ht="15.75" customHeight="1">
      <c r="A108" s="50"/>
      <c r="B108" s="50"/>
      <c r="C108" s="50"/>
      <c r="D108" s="50"/>
      <c r="E108" s="50"/>
      <c r="J108" s="30"/>
    </row>
    <row r="109" spans="1:10" ht="15.75" customHeight="1">
      <c r="A109" s="50"/>
      <c r="B109" s="50"/>
      <c r="C109" s="50"/>
      <c r="D109" s="50"/>
      <c r="E109" s="50"/>
      <c r="J109" s="30"/>
    </row>
    <row r="110" spans="1:10" ht="15.75" customHeight="1">
      <c r="A110" s="50"/>
      <c r="B110" s="50"/>
      <c r="C110" s="50"/>
      <c r="D110" s="50"/>
      <c r="E110" s="50"/>
      <c r="J110" s="30"/>
    </row>
    <row r="111" spans="1:10" ht="15.75" customHeight="1">
      <c r="A111" s="50"/>
      <c r="B111" s="50"/>
      <c r="C111" s="50"/>
      <c r="D111" s="50"/>
      <c r="E111" s="50"/>
      <c r="J111" s="30"/>
    </row>
    <row r="112" spans="1:10" ht="15.75" customHeight="1">
      <c r="A112" s="50"/>
      <c r="B112" s="50"/>
      <c r="C112" s="50"/>
      <c r="D112" s="50"/>
      <c r="E112" s="50"/>
      <c r="J112" s="30"/>
    </row>
    <row r="113" spans="1:10" ht="15.75" customHeight="1">
      <c r="A113" s="50"/>
      <c r="B113" s="50"/>
      <c r="C113" s="50"/>
      <c r="D113" s="50"/>
      <c r="E113" s="50"/>
      <c r="J113" s="30"/>
    </row>
    <row r="114" spans="1:10" ht="15.75" customHeight="1">
      <c r="A114" s="50"/>
      <c r="B114" s="50"/>
      <c r="C114" s="50"/>
      <c r="D114" s="50"/>
      <c r="E114" s="50"/>
      <c r="J114" s="30"/>
    </row>
    <row r="115" spans="1:10" ht="15.75" customHeight="1">
      <c r="A115" s="50"/>
      <c r="B115" s="50"/>
      <c r="C115" s="50"/>
      <c r="D115" s="50"/>
      <c r="E115" s="50"/>
      <c r="J115" s="30"/>
    </row>
    <row r="116" spans="1:10" ht="15.75" customHeight="1">
      <c r="A116" s="50"/>
      <c r="B116" s="50"/>
      <c r="C116" s="50"/>
      <c r="D116" s="50"/>
      <c r="E116" s="50"/>
      <c r="J116" s="30"/>
    </row>
    <row r="117" spans="1:10" ht="15.75" customHeight="1">
      <c r="A117" s="50"/>
      <c r="B117" s="50"/>
      <c r="C117" s="50"/>
      <c r="D117" s="50"/>
      <c r="E117" s="50"/>
      <c r="J117" s="30"/>
    </row>
    <row r="118" spans="1:10" ht="15.75" customHeight="1">
      <c r="A118" s="50"/>
      <c r="B118" s="50"/>
      <c r="C118" s="50"/>
      <c r="D118" s="50"/>
      <c r="E118" s="50"/>
      <c r="J118" s="30"/>
    </row>
    <row r="119" spans="1:10" ht="15.75" customHeight="1">
      <c r="A119" s="50"/>
      <c r="B119" s="50"/>
      <c r="C119" s="50"/>
      <c r="D119" s="50"/>
      <c r="E119" s="50"/>
      <c r="J119" s="30"/>
    </row>
    <row r="120" spans="1:10" ht="15.75" customHeight="1">
      <c r="A120" s="50"/>
      <c r="B120" s="50"/>
      <c r="C120" s="50"/>
      <c r="D120" s="50"/>
      <c r="E120" s="50"/>
      <c r="J120" s="30"/>
    </row>
    <row r="121" spans="1:10" ht="15.75" customHeight="1">
      <c r="A121" s="50"/>
      <c r="B121" s="50"/>
      <c r="C121" s="50"/>
      <c r="D121" s="50"/>
      <c r="E121" s="50"/>
      <c r="J121" s="30"/>
    </row>
    <row r="122" spans="1:10" ht="15.75" customHeight="1">
      <c r="A122" s="50"/>
      <c r="B122" s="50"/>
      <c r="C122" s="50"/>
      <c r="D122" s="50"/>
      <c r="E122" s="50"/>
      <c r="J122" s="30"/>
    </row>
    <row r="123" spans="1:10" ht="15.75" customHeight="1">
      <c r="A123" s="50"/>
      <c r="B123" s="50"/>
      <c r="C123" s="50"/>
      <c r="D123" s="50"/>
      <c r="E123" s="50"/>
      <c r="J123" s="30"/>
    </row>
    <row r="124" spans="1:10" ht="15.75" customHeight="1">
      <c r="A124" s="50"/>
      <c r="B124" s="50"/>
      <c r="C124" s="50"/>
      <c r="D124" s="50"/>
      <c r="E124" s="50"/>
      <c r="J124" s="30"/>
    </row>
    <row r="125" spans="1:10" ht="15.75" customHeight="1">
      <c r="A125" s="50"/>
      <c r="B125" s="50"/>
      <c r="C125" s="50"/>
      <c r="D125" s="50"/>
      <c r="E125" s="50"/>
      <c r="J125" s="30"/>
    </row>
    <row r="126" spans="1:10" ht="15.75" customHeight="1">
      <c r="A126" s="50"/>
      <c r="B126" s="50"/>
      <c r="C126" s="50"/>
      <c r="D126" s="50"/>
      <c r="E126" s="50"/>
      <c r="J126" s="30"/>
    </row>
    <row r="127" spans="1:10" ht="15.75" customHeight="1">
      <c r="A127" s="50"/>
      <c r="B127" s="50"/>
      <c r="C127" s="50"/>
      <c r="D127" s="50"/>
      <c r="E127" s="50"/>
      <c r="J127" s="30"/>
    </row>
    <row r="128" spans="1:10" ht="15.75" customHeight="1">
      <c r="A128" s="50"/>
      <c r="B128" s="50"/>
      <c r="C128" s="50"/>
      <c r="D128" s="50"/>
      <c r="E128" s="50"/>
      <c r="J128" s="30"/>
    </row>
    <row r="129" spans="1:10" ht="15.75" customHeight="1">
      <c r="A129" s="50"/>
      <c r="B129" s="50"/>
      <c r="C129" s="50"/>
      <c r="D129" s="50"/>
      <c r="E129" s="50"/>
      <c r="J129" s="30"/>
    </row>
    <row r="130" spans="1:10" ht="15.75" customHeight="1">
      <c r="A130" s="50"/>
      <c r="B130" s="50"/>
      <c r="C130" s="50"/>
      <c r="D130" s="50"/>
      <c r="E130" s="50"/>
      <c r="J130" s="30"/>
    </row>
    <row r="131" spans="1:10" ht="15.75" customHeight="1">
      <c r="A131" s="50"/>
      <c r="B131" s="50"/>
      <c r="C131" s="50"/>
      <c r="D131" s="50"/>
      <c r="E131" s="50"/>
      <c r="J131" s="30"/>
    </row>
    <row r="132" spans="1:10" ht="15.75" customHeight="1">
      <c r="A132" s="50"/>
      <c r="B132" s="50"/>
      <c r="C132" s="50"/>
      <c r="D132" s="50"/>
      <c r="E132" s="50"/>
      <c r="J132" s="30"/>
    </row>
    <row r="133" spans="1:10" ht="15.75" customHeight="1">
      <c r="A133" s="50"/>
      <c r="B133" s="50"/>
      <c r="C133" s="50"/>
      <c r="D133" s="50"/>
      <c r="E133" s="50"/>
      <c r="J133" s="30"/>
    </row>
    <row r="134" spans="1:10" ht="15.75" customHeight="1">
      <c r="A134" s="50"/>
      <c r="B134" s="50"/>
      <c r="C134" s="50"/>
      <c r="D134" s="50"/>
      <c r="E134" s="50"/>
      <c r="J134" s="30"/>
    </row>
    <row r="135" spans="1:10" ht="15.75" customHeight="1">
      <c r="A135" s="50"/>
      <c r="B135" s="50"/>
      <c r="C135" s="50"/>
      <c r="D135" s="50"/>
      <c r="E135" s="50"/>
      <c r="J135" s="30"/>
    </row>
    <row r="136" spans="1:10" ht="15.75" customHeight="1">
      <c r="A136" s="50"/>
      <c r="B136" s="50"/>
      <c r="C136" s="50"/>
      <c r="D136" s="50"/>
      <c r="E136" s="50"/>
      <c r="J136" s="30"/>
    </row>
    <row r="137" spans="1:10" ht="15.75" customHeight="1">
      <c r="A137" s="50"/>
      <c r="B137" s="50"/>
      <c r="C137" s="50"/>
      <c r="D137" s="50"/>
      <c r="E137" s="50"/>
      <c r="J137" s="30"/>
    </row>
    <row r="138" spans="1:10" ht="15.75" customHeight="1">
      <c r="A138" s="50"/>
      <c r="B138" s="50"/>
      <c r="C138" s="50"/>
      <c r="D138" s="50"/>
      <c r="E138" s="50"/>
      <c r="J138" s="30"/>
    </row>
    <row r="139" spans="1:10" ht="15.75" customHeight="1">
      <c r="A139" s="50"/>
      <c r="B139" s="50"/>
      <c r="C139" s="50"/>
      <c r="D139" s="50"/>
      <c r="E139" s="50"/>
      <c r="J139" s="30"/>
    </row>
    <row r="140" spans="1:10" ht="15.75" customHeight="1">
      <c r="A140" s="50"/>
      <c r="B140" s="50"/>
      <c r="C140" s="50"/>
      <c r="D140" s="50"/>
      <c r="E140" s="50"/>
      <c r="J140" s="30"/>
    </row>
    <row r="141" spans="1:10" ht="15.75" customHeight="1">
      <c r="A141" s="50"/>
      <c r="B141" s="50"/>
      <c r="C141" s="50"/>
      <c r="D141" s="50"/>
      <c r="E141" s="50"/>
      <c r="J141" s="30"/>
    </row>
    <row r="142" spans="1:10" ht="15.75" customHeight="1">
      <c r="A142" s="50"/>
      <c r="B142" s="50"/>
      <c r="C142" s="50"/>
      <c r="D142" s="50"/>
      <c r="E142" s="50"/>
      <c r="J142" s="30"/>
    </row>
    <row r="143" spans="1:10" ht="15.75" customHeight="1">
      <c r="A143" s="50"/>
      <c r="B143" s="50"/>
      <c r="C143" s="50"/>
      <c r="D143" s="50"/>
      <c r="E143" s="50"/>
      <c r="J143" s="30"/>
    </row>
    <row r="144" spans="1:10" ht="15.75" customHeight="1">
      <c r="A144" s="50"/>
      <c r="B144" s="50"/>
      <c r="C144" s="50"/>
      <c r="D144" s="50"/>
      <c r="E144" s="50"/>
      <c r="J144" s="30"/>
    </row>
    <row r="145" spans="1:10" ht="15.75" customHeight="1">
      <c r="A145" s="50"/>
      <c r="B145" s="50"/>
      <c r="C145" s="50"/>
      <c r="D145" s="50"/>
      <c r="E145" s="50"/>
      <c r="J145" s="30"/>
    </row>
    <row r="146" spans="1:10" ht="15.75" customHeight="1">
      <c r="A146" s="50"/>
      <c r="B146" s="50"/>
      <c r="C146" s="50"/>
      <c r="D146" s="50"/>
      <c r="E146" s="50"/>
      <c r="J146" s="30"/>
    </row>
    <row r="147" spans="1:10" ht="15.75" customHeight="1">
      <c r="A147" s="50"/>
      <c r="B147" s="50"/>
      <c r="C147" s="50"/>
      <c r="D147" s="50"/>
      <c r="E147" s="50"/>
      <c r="J147" s="30"/>
    </row>
    <row r="148" spans="1:10" ht="15.75" customHeight="1">
      <c r="A148" s="50"/>
      <c r="B148" s="50"/>
      <c r="C148" s="50"/>
      <c r="D148" s="50"/>
      <c r="E148" s="50"/>
      <c r="J148" s="30"/>
    </row>
    <row r="149" spans="1:10" ht="15.75" customHeight="1">
      <c r="A149" s="50"/>
      <c r="B149" s="50"/>
      <c r="C149" s="50"/>
      <c r="D149" s="50"/>
      <c r="E149" s="50"/>
      <c r="J149" s="30"/>
    </row>
    <row r="150" spans="1:10" ht="15.75" customHeight="1">
      <c r="A150" s="50"/>
      <c r="B150" s="50"/>
      <c r="C150" s="50"/>
      <c r="D150" s="50"/>
      <c r="E150" s="50"/>
      <c r="J150" s="30"/>
    </row>
    <row r="151" spans="1:10" ht="15.75" customHeight="1">
      <c r="A151" s="50"/>
      <c r="B151" s="50"/>
      <c r="C151" s="50"/>
      <c r="D151" s="50"/>
      <c r="E151" s="50"/>
      <c r="J151" s="30"/>
    </row>
    <row r="152" spans="1:10" ht="15.75" customHeight="1">
      <c r="A152" s="50"/>
      <c r="B152" s="50"/>
      <c r="C152" s="50"/>
      <c r="D152" s="50"/>
      <c r="E152" s="50"/>
      <c r="J152" s="30"/>
    </row>
    <row r="153" spans="1:10" ht="15.75" customHeight="1">
      <c r="A153" s="50"/>
      <c r="B153" s="50"/>
      <c r="C153" s="50"/>
      <c r="D153" s="50"/>
      <c r="E153" s="50"/>
      <c r="J153" s="30"/>
    </row>
    <row r="154" spans="1:10" ht="15.75" customHeight="1">
      <c r="A154" s="50"/>
      <c r="B154" s="50"/>
      <c r="C154" s="50"/>
      <c r="D154" s="50"/>
      <c r="E154" s="50"/>
      <c r="J154" s="30"/>
    </row>
    <row r="155" spans="1:10" ht="15.75" customHeight="1">
      <c r="A155" s="50"/>
      <c r="B155" s="50"/>
      <c r="C155" s="50"/>
      <c r="D155" s="50"/>
      <c r="E155" s="50"/>
      <c r="J155" s="30"/>
    </row>
    <row r="156" spans="1:10" ht="15.75" customHeight="1">
      <c r="A156" s="50"/>
      <c r="B156" s="50"/>
      <c r="C156" s="50"/>
      <c r="D156" s="50"/>
      <c r="E156" s="50"/>
      <c r="J156" s="30"/>
    </row>
    <row r="157" spans="1:10" ht="15.75" customHeight="1">
      <c r="A157" s="50"/>
      <c r="B157" s="50"/>
      <c r="C157" s="50"/>
      <c r="D157" s="50"/>
      <c r="E157" s="50"/>
      <c r="J157" s="30"/>
    </row>
    <row r="158" spans="1:10" ht="15.75" customHeight="1">
      <c r="A158" s="50"/>
      <c r="B158" s="50"/>
      <c r="C158" s="50"/>
      <c r="D158" s="50"/>
      <c r="E158" s="50"/>
      <c r="J158" s="30"/>
    </row>
    <row r="159" spans="1:10" ht="15.75" customHeight="1">
      <c r="A159" s="50"/>
      <c r="B159" s="50"/>
      <c r="C159" s="50"/>
      <c r="D159" s="50"/>
      <c r="E159" s="50"/>
      <c r="J159" s="30"/>
    </row>
    <row r="160" spans="1:10" ht="15.75" customHeight="1">
      <c r="A160" s="50"/>
      <c r="B160" s="50"/>
      <c r="C160" s="50"/>
      <c r="D160" s="50"/>
      <c r="E160" s="50"/>
      <c r="J160" s="30"/>
    </row>
    <row r="161" spans="1:10" ht="15.75" customHeight="1">
      <c r="A161" s="50"/>
      <c r="B161" s="50"/>
      <c r="C161" s="50"/>
      <c r="D161" s="50"/>
      <c r="E161" s="50"/>
      <c r="J161" s="30"/>
    </row>
    <row r="162" spans="1:10" ht="15.75" customHeight="1">
      <c r="A162" s="50"/>
      <c r="B162" s="50"/>
      <c r="C162" s="50"/>
      <c r="D162" s="50"/>
      <c r="E162" s="50"/>
      <c r="J162" s="30"/>
    </row>
    <row r="163" spans="1:10" ht="15.75" customHeight="1">
      <c r="A163" s="50"/>
      <c r="B163" s="50"/>
      <c r="C163" s="50"/>
      <c r="D163" s="50"/>
      <c r="E163" s="50"/>
      <c r="J163" s="30"/>
    </row>
    <row r="164" spans="1:10" ht="15.75" customHeight="1">
      <c r="A164" s="50"/>
      <c r="B164" s="50"/>
      <c r="C164" s="50"/>
      <c r="D164" s="50"/>
      <c r="E164" s="50"/>
      <c r="J164" s="30"/>
    </row>
    <row r="165" spans="1:10" ht="15.75" customHeight="1">
      <c r="A165" s="50"/>
      <c r="B165" s="50"/>
      <c r="C165" s="50"/>
      <c r="D165" s="50"/>
      <c r="E165" s="50"/>
      <c r="J165" s="30"/>
    </row>
    <row r="166" spans="1:10" ht="15.75" customHeight="1">
      <c r="A166" s="50"/>
      <c r="B166" s="50"/>
      <c r="C166" s="50"/>
      <c r="D166" s="50"/>
      <c r="E166" s="50"/>
      <c r="J166" s="30"/>
    </row>
    <row r="167" spans="1:10" ht="15.75" customHeight="1">
      <c r="A167" s="50"/>
      <c r="B167" s="50"/>
      <c r="C167" s="50"/>
      <c r="D167" s="50"/>
      <c r="E167" s="50"/>
      <c r="J167" s="30"/>
    </row>
    <row r="168" spans="1:10" ht="15.75" customHeight="1">
      <c r="A168" s="50"/>
      <c r="B168" s="50"/>
      <c r="C168" s="50"/>
      <c r="D168" s="50"/>
      <c r="E168" s="50"/>
      <c r="J168" s="30"/>
    </row>
    <row r="169" spans="1:10" ht="15.75" customHeight="1">
      <c r="A169" s="50"/>
      <c r="B169" s="50"/>
      <c r="C169" s="50"/>
      <c r="D169" s="50"/>
      <c r="E169" s="50"/>
      <c r="J169" s="30"/>
    </row>
    <row r="170" spans="1:10" ht="15.75" customHeight="1">
      <c r="A170" s="50"/>
      <c r="B170" s="50"/>
      <c r="C170" s="50"/>
      <c r="D170" s="50"/>
      <c r="E170" s="50"/>
      <c r="J170" s="30"/>
    </row>
    <row r="171" spans="1:10" ht="15.75" customHeight="1">
      <c r="A171" s="50"/>
      <c r="B171" s="50"/>
      <c r="C171" s="50"/>
      <c r="D171" s="50"/>
      <c r="E171" s="50"/>
      <c r="J171" s="30"/>
    </row>
    <row r="172" spans="1:10" ht="15.75" customHeight="1">
      <c r="A172" s="50"/>
      <c r="B172" s="50"/>
      <c r="C172" s="50"/>
      <c r="D172" s="50"/>
      <c r="E172" s="50"/>
      <c r="J172" s="30"/>
    </row>
    <row r="173" spans="1:10" ht="15.75" customHeight="1">
      <c r="A173" s="50"/>
      <c r="B173" s="50"/>
      <c r="C173" s="50"/>
      <c r="D173" s="50"/>
      <c r="E173" s="50"/>
      <c r="J173" s="30"/>
    </row>
    <row r="174" spans="1:10" ht="15.75" customHeight="1">
      <c r="A174" s="50"/>
      <c r="B174" s="50"/>
      <c r="C174" s="50"/>
      <c r="D174" s="50"/>
      <c r="E174" s="50"/>
      <c r="J174" s="30"/>
    </row>
    <row r="175" spans="1:10" ht="15.75" customHeight="1">
      <c r="A175" s="50"/>
      <c r="B175" s="50"/>
      <c r="C175" s="50"/>
      <c r="D175" s="50"/>
      <c r="E175" s="50"/>
      <c r="J175" s="30"/>
    </row>
    <row r="176" spans="1:10" ht="15.75" customHeight="1">
      <c r="A176" s="50"/>
      <c r="B176" s="50"/>
      <c r="C176" s="50"/>
      <c r="D176" s="50"/>
      <c r="E176" s="50"/>
      <c r="J176" s="30"/>
    </row>
    <row r="177" spans="1:10" ht="15.75" customHeight="1">
      <c r="A177" s="50"/>
      <c r="B177" s="50"/>
      <c r="C177" s="50"/>
      <c r="D177" s="50"/>
      <c r="E177" s="50"/>
      <c r="J177" s="30"/>
    </row>
    <row r="178" spans="1:10" ht="15.75" customHeight="1">
      <c r="A178" s="50"/>
      <c r="B178" s="50"/>
      <c r="C178" s="50"/>
      <c r="D178" s="50"/>
      <c r="E178" s="50"/>
      <c r="J178" s="30"/>
    </row>
    <row r="179" spans="1:10" ht="15.75" customHeight="1">
      <c r="A179" s="50"/>
      <c r="B179" s="50"/>
      <c r="C179" s="50"/>
      <c r="D179" s="50"/>
      <c r="E179" s="50"/>
      <c r="J179" s="30"/>
    </row>
    <row r="180" spans="1:10" ht="15.75" customHeight="1">
      <c r="A180" s="50"/>
      <c r="B180" s="50"/>
      <c r="C180" s="50"/>
      <c r="D180" s="50"/>
      <c r="E180" s="50"/>
      <c r="J180" s="30"/>
    </row>
    <row r="181" spans="1:10" ht="15.75" customHeight="1">
      <c r="A181" s="50"/>
      <c r="B181" s="50"/>
      <c r="C181" s="50"/>
      <c r="D181" s="50"/>
      <c r="E181" s="50"/>
      <c r="J181" s="30"/>
    </row>
    <row r="182" spans="1:10" ht="15.75" customHeight="1">
      <c r="A182" s="50"/>
      <c r="B182" s="50"/>
      <c r="C182" s="50"/>
      <c r="D182" s="50"/>
      <c r="E182" s="50"/>
      <c r="J182" s="30"/>
    </row>
    <row r="183" spans="1:10" ht="15.75" customHeight="1">
      <c r="A183" s="50"/>
      <c r="B183" s="50"/>
      <c r="C183" s="50"/>
      <c r="D183" s="50"/>
      <c r="E183" s="50"/>
      <c r="J183" s="30"/>
    </row>
    <row r="184" spans="1:10" ht="15.75" customHeight="1">
      <c r="A184" s="50"/>
      <c r="B184" s="50"/>
      <c r="C184" s="50"/>
      <c r="D184" s="50"/>
      <c r="E184" s="50"/>
      <c r="J184" s="30"/>
    </row>
    <row r="185" spans="1:10" ht="15.75" customHeight="1">
      <c r="A185" s="50"/>
      <c r="B185" s="50"/>
      <c r="C185" s="50"/>
      <c r="D185" s="50"/>
      <c r="E185" s="50"/>
      <c r="J185" s="30"/>
    </row>
    <row r="186" spans="1:10" ht="15.75" customHeight="1">
      <c r="A186" s="50"/>
      <c r="B186" s="50"/>
      <c r="C186" s="50"/>
      <c r="D186" s="50"/>
      <c r="E186" s="50"/>
      <c r="J186" s="30"/>
    </row>
    <row r="187" spans="1:10" ht="15.75" customHeight="1">
      <c r="A187" s="50"/>
      <c r="B187" s="50"/>
      <c r="C187" s="50"/>
      <c r="D187" s="50"/>
      <c r="E187" s="50"/>
      <c r="J187" s="30"/>
    </row>
    <row r="188" spans="1:10" ht="15.75" customHeight="1">
      <c r="A188" s="50"/>
      <c r="B188" s="50"/>
      <c r="C188" s="50"/>
      <c r="D188" s="50"/>
      <c r="E188" s="50"/>
      <c r="J188" s="30"/>
    </row>
    <row r="189" spans="1:10" ht="15.75" customHeight="1">
      <c r="A189" s="50"/>
      <c r="B189" s="50"/>
      <c r="C189" s="50"/>
      <c r="D189" s="50"/>
      <c r="E189" s="50"/>
      <c r="J189" s="30"/>
    </row>
    <row r="190" spans="1:10" ht="15.75" customHeight="1">
      <c r="A190" s="50"/>
      <c r="B190" s="50"/>
      <c r="C190" s="50"/>
      <c r="D190" s="50"/>
      <c r="E190" s="50"/>
      <c r="J190" s="30"/>
    </row>
    <row r="191" spans="1:10" ht="15.75" customHeight="1">
      <c r="A191" s="50"/>
      <c r="B191" s="50"/>
      <c r="C191" s="50"/>
      <c r="D191" s="50"/>
      <c r="E191" s="50"/>
      <c r="J191" s="30"/>
    </row>
    <row r="192" spans="1:10" ht="15.75" customHeight="1">
      <c r="A192" s="50"/>
      <c r="B192" s="50"/>
      <c r="C192" s="50"/>
      <c r="D192" s="50"/>
      <c r="E192" s="50"/>
      <c r="J192" s="30"/>
    </row>
    <row r="193" spans="1:10" ht="15.75" customHeight="1">
      <c r="A193" s="50"/>
      <c r="B193" s="50"/>
      <c r="C193" s="50"/>
      <c r="D193" s="50"/>
      <c r="E193" s="50"/>
      <c r="J193" s="30"/>
    </row>
    <row r="194" spans="1:10" ht="15.75" customHeight="1">
      <c r="A194" s="50"/>
      <c r="B194" s="50"/>
      <c r="C194" s="50"/>
      <c r="D194" s="50"/>
      <c r="E194" s="50"/>
      <c r="J194" s="30"/>
    </row>
    <row r="195" spans="1:10" ht="15.75" customHeight="1">
      <c r="A195" s="50"/>
      <c r="B195" s="50"/>
      <c r="C195" s="50"/>
      <c r="D195" s="50"/>
      <c r="E195" s="50"/>
      <c r="J195" s="30"/>
    </row>
    <row r="196" spans="1:10" ht="15.75" customHeight="1">
      <c r="A196" s="50"/>
      <c r="B196" s="50"/>
      <c r="C196" s="50"/>
      <c r="D196" s="50"/>
      <c r="E196" s="50"/>
      <c r="J196" s="30"/>
    </row>
    <row r="197" spans="1:10" ht="15.75" customHeight="1">
      <c r="A197" s="50"/>
      <c r="B197" s="50"/>
      <c r="C197" s="50"/>
      <c r="D197" s="50"/>
      <c r="E197" s="50"/>
      <c r="J197" s="30"/>
    </row>
    <row r="198" spans="1:10" ht="15.75" customHeight="1">
      <c r="A198" s="50"/>
      <c r="B198" s="50"/>
      <c r="C198" s="50"/>
      <c r="D198" s="50"/>
      <c r="E198" s="50"/>
      <c r="J198" s="30"/>
    </row>
    <row r="199" spans="1:10" ht="15.75" customHeight="1">
      <c r="A199" s="50"/>
      <c r="B199" s="50"/>
      <c r="C199" s="50"/>
      <c r="D199" s="50"/>
      <c r="E199" s="50"/>
      <c r="J199" s="30"/>
    </row>
    <row r="200" spans="1:10" ht="15.75" customHeight="1">
      <c r="A200" s="50"/>
      <c r="B200" s="50"/>
      <c r="C200" s="50"/>
      <c r="D200" s="50"/>
      <c r="E200" s="50"/>
      <c r="J200" s="30"/>
    </row>
    <row r="201" spans="1:10" ht="15.75" customHeight="1">
      <c r="A201" s="50"/>
      <c r="B201" s="50"/>
      <c r="C201" s="50"/>
      <c r="D201" s="50"/>
      <c r="E201" s="50"/>
      <c r="J201" s="30"/>
    </row>
    <row r="202" spans="1:10" ht="15.75" customHeight="1">
      <c r="A202" s="50"/>
      <c r="B202" s="50"/>
      <c r="C202" s="50"/>
      <c r="D202" s="50"/>
      <c r="E202" s="50"/>
      <c r="J202" s="30"/>
    </row>
    <row r="203" spans="1:10" ht="15.75" customHeight="1">
      <c r="A203" s="50"/>
      <c r="B203" s="50"/>
      <c r="C203" s="50"/>
      <c r="D203" s="50"/>
      <c r="E203" s="50"/>
      <c r="J203" s="30"/>
    </row>
    <row r="204" spans="1:10" ht="15.75" customHeight="1">
      <c r="A204" s="50"/>
      <c r="B204" s="50"/>
      <c r="C204" s="50"/>
      <c r="D204" s="50"/>
      <c r="E204" s="50"/>
      <c r="J204" s="30"/>
    </row>
    <row r="205" spans="1:10" ht="15.75" customHeight="1">
      <c r="A205" s="50"/>
      <c r="B205" s="50"/>
      <c r="C205" s="50"/>
      <c r="D205" s="50"/>
      <c r="E205" s="50"/>
      <c r="J205" s="30"/>
    </row>
    <row r="206" spans="1:10" ht="15.75" customHeight="1">
      <c r="A206" s="50"/>
      <c r="B206" s="50"/>
      <c r="C206" s="50"/>
      <c r="D206" s="50"/>
      <c r="E206" s="50"/>
      <c r="J206" s="30"/>
    </row>
    <row r="207" spans="1:10" ht="15.75" customHeight="1">
      <c r="A207" s="50"/>
      <c r="B207" s="50"/>
      <c r="C207" s="50"/>
      <c r="D207" s="50"/>
      <c r="E207" s="50"/>
      <c r="J207" s="30"/>
    </row>
    <row r="208" spans="1:10" ht="15.75" customHeight="1">
      <c r="A208" s="50"/>
      <c r="B208" s="50"/>
      <c r="C208" s="50"/>
      <c r="D208" s="50"/>
      <c r="E208" s="50"/>
      <c r="J208" s="30"/>
    </row>
    <row r="209" spans="1:10" ht="15.75" customHeight="1">
      <c r="A209" s="50"/>
      <c r="B209" s="50"/>
      <c r="C209" s="50"/>
      <c r="D209" s="50"/>
      <c r="E209" s="50"/>
      <c r="J209" s="30"/>
    </row>
    <row r="210" spans="1:10" ht="15.75" customHeight="1">
      <c r="A210" s="50"/>
      <c r="B210" s="50"/>
      <c r="C210" s="50"/>
      <c r="D210" s="50"/>
      <c r="E210" s="50"/>
      <c r="J210" s="30"/>
    </row>
    <row r="211" spans="1:10" ht="15.75" customHeight="1">
      <c r="A211" s="50"/>
      <c r="B211" s="50"/>
      <c r="C211" s="50"/>
      <c r="D211" s="50"/>
      <c r="E211" s="50"/>
      <c r="J211" s="30"/>
    </row>
    <row r="212" spans="1:10" ht="15.75" customHeight="1">
      <c r="A212" s="50"/>
      <c r="B212" s="50"/>
      <c r="C212" s="50"/>
      <c r="D212" s="50"/>
      <c r="E212" s="50"/>
      <c r="J212" s="30"/>
    </row>
    <row r="213" spans="1:10" ht="15.75" customHeight="1">
      <c r="A213" s="50"/>
      <c r="B213" s="50"/>
      <c r="C213" s="50"/>
      <c r="D213" s="50"/>
      <c r="E213" s="50"/>
      <c r="J213" s="30"/>
    </row>
    <row r="214" spans="1:10" ht="15.75" customHeight="1">
      <c r="A214" s="50"/>
      <c r="B214" s="50"/>
      <c r="C214" s="50"/>
      <c r="D214" s="50"/>
      <c r="E214" s="50"/>
      <c r="J214" s="30"/>
    </row>
    <row r="215" spans="1:10" ht="15.75" customHeight="1">
      <c r="A215" s="50"/>
      <c r="B215" s="50"/>
      <c r="C215" s="50"/>
      <c r="D215" s="50"/>
      <c r="E215" s="50"/>
      <c r="J215" s="30"/>
    </row>
    <row r="216" spans="1:10" ht="15.75" customHeight="1">
      <c r="A216" s="50"/>
      <c r="B216" s="50"/>
      <c r="C216" s="50"/>
      <c r="D216" s="50"/>
      <c r="E216" s="50"/>
      <c r="J216" s="30"/>
    </row>
    <row r="217" spans="1:10" ht="15.75" customHeight="1">
      <c r="A217" s="50"/>
      <c r="B217" s="50"/>
      <c r="C217" s="50"/>
      <c r="D217" s="50"/>
      <c r="E217" s="50"/>
      <c r="J217" s="30"/>
    </row>
    <row r="218" spans="1:10" ht="15.75" customHeight="1">
      <c r="A218" s="50"/>
      <c r="B218" s="50"/>
      <c r="C218" s="50"/>
      <c r="D218" s="50"/>
      <c r="E218" s="50"/>
      <c r="J218" s="30"/>
    </row>
    <row r="219" spans="1:10" ht="15.75" customHeight="1">
      <c r="A219" s="50"/>
      <c r="B219" s="50"/>
      <c r="C219" s="50"/>
      <c r="D219" s="50"/>
      <c r="E219" s="50"/>
      <c r="J219" s="30"/>
    </row>
    <row r="220" spans="1:10" ht="15.75" customHeight="1">
      <c r="A220" s="50"/>
      <c r="B220" s="50"/>
      <c r="C220" s="50"/>
      <c r="D220" s="50"/>
      <c r="E220" s="50"/>
      <c r="J220" s="30"/>
    </row>
    <row r="221" spans="1:10" ht="15.75" customHeight="1">
      <c r="A221" s="50"/>
      <c r="B221" s="50"/>
      <c r="C221" s="50"/>
      <c r="D221" s="50"/>
      <c r="E221" s="50"/>
      <c r="J221" s="30"/>
    </row>
    <row r="222" spans="1:10" ht="15.75" customHeight="1">
      <c r="A222" s="50"/>
      <c r="B222" s="50"/>
      <c r="C222" s="50"/>
      <c r="D222" s="50"/>
      <c r="E222" s="50"/>
      <c r="J222" s="30"/>
    </row>
    <row r="223" spans="1:10" ht="15.75" customHeight="1">
      <c r="A223" s="50"/>
      <c r="B223" s="50"/>
      <c r="C223" s="50"/>
      <c r="D223" s="50"/>
      <c r="E223" s="50"/>
      <c r="J223" s="30"/>
    </row>
    <row r="224" spans="1:10" ht="15.75" customHeight="1">
      <c r="A224" s="50"/>
      <c r="B224" s="50"/>
      <c r="C224" s="50"/>
      <c r="D224" s="50"/>
      <c r="E224" s="50"/>
      <c r="J224" s="30"/>
    </row>
    <row r="225" spans="1:10" ht="15.75" customHeight="1">
      <c r="A225" s="50"/>
      <c r="B225" s="50"/>
      <c r="C225" s="50"/>
      <c r="D225" s="50"/>
      <c r="E225" s="50"/>
      <c r="J225" s="30"/>
    </row>
    <row r="226" spans="1:10" ht="15.75" customHeight="1">
      <c r="A226" s="50"/>
      <c r="B226" s="50"/>
      <c r="C226" s="50"/>
      <c r="D226" s="50"/>
      <c r="E226" s="50"/>
      <c r="J226" s="30"/>
    </row>
    <row r="227" spans="1:10" ht="15.75" customHeight="1">
      <c r="A227" s="50"/>
      <c r="B227" s="50"/>
      <c r="C227" s="50"/>
      <c r="D227" s="50"/>
      <c r="E227" s="50"/>
      <c r="J227" s="30"/>
    </row>
    <row r="228" spans="1:10" ht="15.75" customHeight="1">
      <c r="A228" s="50"/>
      <c r="B228" s="50"/>
      <c r="C228" s="50"/>
      <c r="D228" s="50"/>
      <c r="E228" s="50"/>
      <c r="J228" s="30"/>
    </row>
    <row r="229" spans="1:10" ht="15.75" customHeight="1">
      <c r="A229" s="50"/>
      <c r="B229" s="50"/>
      <c r="C229" s="50"/>
      <c r="D229" s="50"/>
      <c r="E229" s="50"/>
      <c r="J229" s="30"/>
    </row>
    <row r="230" spans="1:10" ht="15.75" customHeight="1">
      <c r="A230" s="50"/>
      <c r="B230" s="50"/>
      <c r="C230" s="50"/>
      <c r="D230" s="50"/>
      <c r="E230" s="50"/>
      <c r="J230" s="30"/>
    </row>
    <row r="231" spans="1:10" ht="15.75" customHeight="1">
      <c r="A231" s="50"/>
      <c r="B231" s="50"/>
      <c r="C231" s="50"/>
      <c r="D231" s="50"/>
      <c r="E231" s="50"/>
      <c r="J231" s="30"/>
    </row>
    <row r="232" spans="1:10" ht="15.75" customHeight="1">
      <c r="A232" s="50"/>
      <c r="B232" s="50"/>
      <c r="C232" s="50"/>
      <c r="D232" s="50"/>
      <c r="E232" s="50"/>
      <c r="J232" s="30"/>
    </row>
    <row r="233" spans="1:10" ht="15.75" customHeight="1">
      <c r="A233" s="50"/>
      <c r="B233" s="50"/>
      <c r="C233" s="50"/>
      <c r="D233" s="50"/>
      <c r="E233" s="50"/>
      <c r="J233" s="30"/>
    </row>
    <row r="234" spans="1:10" ht="15.75" customHeight="1">
      <c r="A234" s="50"/>
      <c r="B234" s="50"/>
      <c r="C234" s="50"/>
      <c r="D234" s="50"/>
      <c r="E234" s="50"/>
      <c r="J234" s="30"/>
    </row>
    <row r="235" spans="1:10" ht="15.75" customHeight="1">
      <c r="A235" s="50"/>
      <c r="B235" s="50"/>
      <c r="C235" s="50"/>
      <c r="D235" s="50"/>
      <c r="E235" s="50"/>
      <c r="J235" s="30"/>
    </row>
    <row r="236" spans="1:10" ht="15.75" customHeight="1">
      <c r="A236" s="50"/>
      <c r="B236" s="50"/>
      <c r="C236" s="50"/>
      <c r="D236" s="50"/>
      <c r="E236" s="50"/>
      <c r="J236" s="30"/>
    </row>
    <row r="237" spans="1:10" ht="15.75" customHeight="1">
      <c r="A237" s="50"/>
      <c r="B237" s="50"/>
      <c r="C237" s="50"/>
      <c r="D237" s="50"/>
      <c r="E237" s="50"/>
      <c r="J237" s="30"/>
    </row>
    <row r="238" spans="1:10" ht="15.75" customHeight="1">
      <c r="A238" s="50"/>
      <c r="B238" s="50"/>
      <c r="C238" s="50"/>
      <c r="D238" s="50"/>
      <c r="E238" s="50"/>
      <c r="J238" s="30"/>
    </row>
    <row r="239" spans="1:10" ht="15.75" customHeight="1">
      <c r="A239" s="50"/>
      <c r="B239" s="50"/>
      <c r="C239" s="50"/>
      <c r="D239" s="50"/>
      <c r="E239" s="50"/>
      <c r="J239" s="30"/>
    </row>
    <row r="240" spans="1:10" ht="15.75" customHeight="1">
      <c r="A240" s="50"/>
      <c r="B240" s="50"/>
      <c r="C240" s="50"/>
      <c r="D240" s="50"/>
      <c r="E240" s="50"/>
      <c r="J240" s="30"/>
    </row>
    <row r="241" spans="1:10" ht="15.75" customHeight="1">
      <c r="A241" s="50"/>
      <c r="B241" s="50"/>
      <c r="C241" s="50"/>
      <c r="D241" s="50"/>
      <c r="E241" s="50"/>
      <c r="J241" s="30"/>
    </row>
    <row r="242" spans="1:10" ht="15.75" customHeight="1">
      <c r="A242" s="50"/>
      <c r="B242" s="50"/>
      <c r="C242" s="50"/>
      <c r="D242" s="50"/>
      <c r="E242" s="50"/>
      <c r="J242" s="30"/>
    </row>
    <row r="243" spans="1:10" ht="15.75" customHeight="1">
      <c r="A243" s="50"/>
      <c r="B243" s="50"/>
      <c r="C243" s="50"/>
      <c r="D243" s="50"/>
      <c r="E243" s="50"/>
      <c r="J243" s="30"/>
    </row>
    <row r="244" spans="1:10" ht="15.75" customHeight="1">
      <c r="A244" s="50"/>
      <c r="B244" s="50"/>
      <c r="C244" s="50"/>
      <c r="D244" s="50"/>
      <c r="E244" s="50"/>
      <c r="J244" s="30"/>
    </row>
    <row r="245" spans="1:10" ht="15.75" customHeight="1">
      <c r="A245" s="50"/>
      <c r="B245" s="50"/>
      <c r="C245" s="50"/>
      <c r="D245" s="50"/>
      <c r="E245" s="50"/>
      <c r="J245" s="30"/>
    </row>
    <row r="246" spans="1:10" ht="15.75" customHeight="1">
      <c r="A246" s="50"/>
      <c r="B246" s="50"/>
      <c r="C246" s="50"/>
      <c r="D246" s="50"/>
      <c r="E246" s="50"/>
      <c r="J246" s="30"/>
    </row>
    <row r="247" spans="1:10" ht="15.75" customHeight="1">
      <c r="A247" s="50"/>
      <c r="B247" s="50"/>
      <c r="C247" s="50"/>
      <c r="D247" s="50"/>
      <c r="E247" s="50"/>
      <c r="J247" s="30"/>
    </row>
    <row r="248" spans="1:10" ht="15.75" customHeight="1">
      <c r="A248" s="50"/>
      <c r="B248" s="50"/>
      <c r="C248" s="50"/>
      <c r="D248" s="50"/>
      <c r="E248" s="50"/>
      <c r="J248" s="30"/>
    </row>
    <row r="249" spans="1:10" ht="15.75" customHeight="1">
      <c r="A249" s="50"/>
      <c r="B249" s="50"/>
      <c r="C249" s="50"/>
      <c r="D249" s="50"/>
      <c r="E249" s="50"/>
      <c r="J249" s="30"/>
    </row>
    <row r="250" spans="1:10" ht="15.75" customHeight="1">
      <c r="A250" s="50"/>
      <c r="B250" s="50"/>
      <c r="C250" s="50"/>
      <c r="D250" s="50"/>
      <c r="E250" s="50"/>
      <c r="J250" s="30"/>
    </row>
    <row r="251" spans="1:10" ht="15.75" customHeight="1">
      <c r="A251" s="50"/>
      <c r="B251" s="50"/>
      <c r="C251" s="50"/>
      <c r="D251" s="50"/>
      <c r="E251" s="50"/>
      <c r="J251" s="30"/>
    </row>
    <row r="252" spans="1:10" ht="15.75" customHeight="1"/>
    <row r="253" spans="1:10" ht="15.75" customHeight="1"/>
    <row r="254" spans="1:10" ht="15.75" customHeight="1"/>
    <row r="255" spans="1:10" ht="15.75" customHeight="1"/>
    <row r="256" spans="1:1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3">
    <dataValidation type="custom" allowBlank="1" showDropDown="1" sqref="G2:H8 J2:M8 O2:P8 R2:U8 S9 A2:A51 D2:E51" xr:uid="{00000000-0002-0000-0000-000000000000}">
      <formula1>AND(ISNUMBER(A2),(NOT(OR(NOT(ISERROR(DATEVALUE(A2))), AND(ISNUMBER(A2), LEFT(CELL("format", A2))="D")))))</formula1>
    </dataValidation>
    <dataValidation type="list" allowBlank="1" sqref="B2:B51" xr:uid="{00000000-0002-0000-0000-000001000000}">
      <formula1>"México,Colombia,Argentina,Chile,Perú"</formula1>
    </dataValidation>
    <dataValidation type="list" allowBlank="1" sqref="C2:C51" xr:uid="{00000000-0002-0000-0000-000002000000}">
      <formula1>"Medio,Bajo,Alto"</formula1>
    </dataValidation>
  </dataValidation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Valderrama</dc:creator>
  <cp:lastModifiedBy>Cristian David García Valderrama</cp:lastModifiedBy>
  <dcterms:created xsi:type="dcterms:W3CDTF">2026-06-12T23:10:06Z</dcterms:created>
  <dcterms:modified xsi:type="dcterms:W3CDTF">2026-06-14T18:53:22Z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0x0101005C1807F9E88B7F4BA3FC8999BA7C1A0D</vt:lpwstr>
  </property>
</Properties>
</file>